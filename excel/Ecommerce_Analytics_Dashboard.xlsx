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346b40d66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f133dff51ca9441c"/>
    <x:sheet xmlns:r="http://schemas.openxmlformats.org/officeDocument/2006/relationships" name="KPI Summary" sheetId="2" r:id="Rcffd24876d904381"/>
    <x:sheet xmlns:r="http://schemas.openxmlformats.org/officeDocument/2006/relationships" name="Monthly Trends" sheetId="3" r:id="Rad80216c6b9b4097"/>
    <x:sheet xmlns:r="http://schemas.openxmlformats.org/officeDocument/2006/relationships" name="Channel &amp; Funnel" sheetId="4" r:id="Rf60cc91867ef4cfe"/>
    <x:sheet xmlns:r="http://schemas.openxmlformats.org/officeDocument/2006/relationships" name="Customer Segments" sheetId="5" r:id="R6bc4271ff27246d1"/>
    <x:sheet xmlns:r="http://schemas.openxmlformats.org/officeDocument/2006/relationships" name="Product &amp; Region" sheetId="6" r:id="R539cbcc003d44e0a"/>
    <x:sheet xmlns:r="http://schemas.openxmlformats.org/officeDocument/2006/relationships" name="Recommendations" sheetId="7" r:id="R99a955cfa4b349a5"/>
    <x:sheet xmlns:r="http://schemas.openxmlformats.org/officeDocument/2006/relationships" name="Metric Definitions" sheetId="8" r:id="Ref25677da2a6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€#,##0"/>
    <x:numFmt numFmtId="201" formatCode="0.0%"/>
    <x:numFmt numFmtId="202" formatCode="#,##0"/>
    <x:numFmt numFmtId="203" formatCode="€#,##0.00"/>
    <x:numFmt numFmtId="204" formatCode="#,##0.0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0B1F33"/>
      <x:name val="Carlito"/>
    </x:font>
    <x:font>
      <x:b/>
      <x:sz val="10"/>
      <x:color rgb="FF52606D"/>
      <x:name val="Carlito"/>
    </x:font>
    <x:font>
      <x:b/>
      <x:sz val="22"/>
      <x:color rgb="FF0F766E"/>
      <x:name val="Carlito"/>
    </x:font>
    <x:font>
      <x:b/>
      <x:sz val="22"/>
      <x:color rgb="FF0B1F33"/>
      <x:name val="Carlito"/>
    </x:font>
    <x:font>
      <x:b/>
      <x:sz val="22"/>
      <x:color rgb="FF0891B2"/>
      <x:name val="Carlito"/>
    </x:font>
    <x:font>
      <x:b/>
      <x:sz val="22"/>
      <x:color rgb="FFF59E0B"/>
      <x:name val="Carlito"/>
    </x:font>
    <x:font>
      <x:b/>
      <x:sz val="22"/>
      <x:color rgb="FFDC2626"/>
      <x:name val="Carlito"/>
    </x:font>
    <x:font>
      <x:b/>
      <x:sz val="12"/>
      <x:color rgb="FFFFFFFF"/>
      <x:name val="Carlito"/>
    </x:font>
    <x:font>
      <x:b/>
      <x:sz val="12"/>
      <x:color rgb="FF0F766E"/>
      <x:name val="Carlito"/>
    </x:font>
    <x:font>
      <x:sz val="10"/>
      <x:color rgb="FF5260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bottom style="thin">
        <x:color rgb="FFE8EEF3"/>
      </x:bottom>
    </x:border>
    <x:border>
      <x:top style="thin">
        <x:color rgb="FFE8EEF3"/>
      </x:top>
      <x:bottom style="thin">
        <x:color rgb="FFE8EEF3"/>
      </x:bottom>
    </x:border>
    <x:border>
      <x:top style="thin">
        <x:color rgb="FFE8EEF3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top style="thin">
        <x:color rgb="FFD9E2EC"/>
      </x:top>
    </x:border>
    <x:border>
      <x:bottom style="thin">
        <x:color rgb="FFD9E2EC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3" fontId="4" fillId="5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3" fontId="4" fillId="5" borderId="4" xfId="0" applyNumberFormat="1" applyFont="1" applyFill="1" applyBorder="1" applyAlignment="1">
      <x:alignment vertical="center"/>
    </x:xf>
    <x:xf numFmtId="203" fontId="4" fillId="5" borderId="6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204" fontId="4" fillId="5" borderId="4" xfId="0" applyNumberFormat="1" applyFont="1" applyFill="1" applyBorder="1" applyAlignment="1">
      <x:alignment vertical="center"/>
    </x:xf>
    <x:xf numFmtId="204" fontId="4" fillId="5" borderId="5" xfId="0" applyNumberFormat="1" applyFont="1" applyFill="1" applyBorder="1" applyAlignment="1">
      <x:alignment vertical="center"/>
    </x:xf>
    <x:xf numFmtId="204" fontId="4" fillId="5" borderId="6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10" xfId="0" applyNumberFormat="1" applyFont="1" applyFill="1" applyBorder="1" applyAlignment="1">
      <x:alignment horizontal="center"/>
    </x:xf>
    <x:xf numFmtId="0" fontId="0" fillId="5" borderId="11" xfId="0" applyNumberFormat="1" applyFont="1" applyFill="1" applyBorder="1" applyAlignment="1">
      <x:alignment horizontal="center"/>
    </x:xf>
    <x:xf numFmtId="0" fontId="0" fillId="5" borderId="12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10" xfId="0" applyNumberFormat="1" applyFont="1" applyFill="1" applyBorder="1" applyAlignment="1">
      <x:alignment horizontal="center" vertical="center"/>
    </x:xf>
    <x:xf numFmtId="0" fontId="0" fillId="5" borderId="11" xfId="0" applyNumberFormat="1" applyFont="1" applyFill="1" applyBorder="1" applyAlignment="1">
      <x:alignment horizontal="center" vertical="center"/>
    </x:xf>
    <x:xf numFmtId="0" fontId="0" fillId="5" borderId="12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200" fontId="6" fillId="5" borderId="9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0" fontId="7" fillId="5" borderId="10" xfId="0" applyNumberFormat="1" applyFont="1" applyFill="1" applyBorder="1" applyAlignment="1">
      <x:alignment horizontal="center" vertical="center"/>
    </x:xf>
    <x:xf numFmtId="0" fontId="7" fillId="5" borderId="11" xfId="0" applyNumberFormat="1" applyFont="1" applyFill="1" applyBorder="1" applyAlignment="1">
      <x:alignment horizontal="center" vertical="center"/>
    </x:xf>
    <x:xf numFmtId="0" fontId="7" fillId="5" borderId="12" xfId="0" applyNumberFormat="1" applyFont="1" applyFill="1" applyBorder="1" applyAlignment="1">
      <x:alignment horizontal="center" vertical="center"/>
    </x:xf>
    <x:xf numFmtId="202" fontId="7" fillId="5" borderId="9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8" fillId="5" borderId="10" xfId="0" applyNumberFormat="1" applyFont="1" applyFill="1" applyBorder="1" applyAlignment="1">
      <x:alignment horizontal="center" vertical="center"/>
    </x:xf>
    <x:xf numFmtId="0" fontId="8" fillId="5" borderId="11" xfId="0" applyNumberFormat="1" applyFont="1" applyFill="1" applyBorder="1" applyAlignment="1">
      <x:alignment horizontal="center" vertical="center"/>
    </x:xf>
    <x:xf numFmtId="0" fontId="8" fillId="5" borderId="12" xfId="0" applyNumberFormat="1" applyFont="1" applyFill="1" applyBorder="1" applyAlignment="1">
      <x:alignment horizontal="center" vertical="center"/>
    </x:xf>
    <x:xf numFmtId="203" fontId="8" fillId="5" borderId="9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  <x:xf numFmtId="0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 applyAlignment="1">
      <x:alignment horizontal="center" vertical="center"/>
    </x:xf>
    <x:xf numFmtId="0" fontId="9" fillId="5" borderId="12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6" fillId="5" borderId="9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5" borderId="10" xfId="0" applyNumberFormat="1" applyFont="1" applyFill="1" applyBorder="1" applyAlignment="1">
      <x:alignment horizontal="center" vertical="center"/>
    </x:xf>
    <x:xf numFmtId="0" fontId="10" fillId="5" borderId="11" xfId="0" applyNumberFormat="1" applyFont="1" applyFill="1" applyBorder="1" applyAlignment="1">
      <x:alignment horizontal="center" vertical="center"/>
    </x:xf>
    <x:xf numFmtId="0" fontId="10" fillId="5" borderId="12" xfId="0" applyNumberFormat="1" applyFont="1" applyFill="1" applyBorder="1" applyAlignment="1">
      <x:alignment horizontal="center" vertical="center"/>
    </x:xf>
    <x:xf numFmtId="201" fontId="10" fillId="5" borderId="9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12" fillId="5" borderId="7" xfId="0" applyNumberFormat="1" applyFont="1" applyFill="1" applyBorder="1" applyAlignment="1">
      <x:alignment vertical="top" wrapText="1"/>
    </x:xf>
    <x:xf numFmtId="0" fontId="12" fillId="5" borderId="13" xfId="0" applyNumberFormat="1" applyFont="1" applyFill="1" applyBorder="1" applyAlignment="1">
      <x:alignment vertical="top" wrapText="1"/>
    </x:xf>
    <x:xf numFmtId="0" fontId="12" fillId="5" borderId="8" xfId="0" applyNumberFormat="1" applyFont="1" applyFill="1" applyBorder="1" applyAlignment="1">
      <x:alignment vertical="top" wrapText="1"/>
    </x:xf>
    <x:xf numFmtId="0" fontId="12" fillId="5" borderId="9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5" borderId="10" xfId="0" applyNumberFormat="1" applyFont="1" applyFill="1" applyBorder="1" applyAlignment="1">
      <x:alignment vertical="top" wrapText="1"/>
    </x:xf>
    <x:xf numFmtId="0" fontId="13" fillId="5" borderId="9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top" wrapText="1"/>
    </x:xf>
    <x:xf numFmtId="0" fontId="13" fillId="5" borderId="10" xfId="0" applyNumberFormat="1" applyFont="1" applyFill="1" applyBorder="1" applyAlignment="1">
      <x:alignment vertical="top" wrapText="1"/>
    </x:xf>
    <x:xf numFmtId="0" fontId="13" fillId="5" borderId="11" xfId="0" applyNumberFormat="1" applyFont="1" applyFill="1" applyBorder="1" applyAlignment="1">
      <x:alignment vertical="top" wrapText="1"/>
    </x:xf>
    <x:xf numFmtId="0" fontId="13" fillId="5" borderId="14" xfId="0" applyNumberFormat="1" applyFont="1" applyFill="1" applyBorder="1" applyAlignment="1">
      <x:alignment vertical="top" wrapText="1"/>
    </x:xf>
    <x:xf numFmtId="0" fontId="13" fillId="5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DC2626"/>
      </x:font>
      <x:fill>
        <x:patternFill patternType="solid">
          <x:bgColor rgb="FFFDE8E8"/>
        </x:patternFill>
      </x:fill>
    </x:dxf>
    <x:dxf>
      <x:font>
        <x:b/>
        <x:color rgb="FF9A67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ea977aa094894" /><Relationship Type="http://schemas.openxmlformats.org/officeDocument/2006/relationships/theme" Target="/xl/theme/theme1.xml" Id="R357b883a5cea4f81" /><Relationship Type="http://schemas.openxmlformats.org/officeDocument/2006/relationships/sharedStrings" Target="/xl/sharedStrings.xml" Id="R7b84258799c049c3" /><Relationship Type="http://schemas.openxmlformats.org/officeDocument/2006/relationships/worksheet" Target="/xl/worksheets/sheet1.xml" Id="Rf133dff51ca9441c" /><Relationship Type="http://schemas.openxmlformats.org/officeDocument/2006/relationships/worksheet" Target="/xl/worksheets/sheet2.xml" Id="Rcffd24876d904381" /><Relationship Type="http://schemas.openxmlformats.org/officeDocument/2006/relationships/worksheet" Target="/xl/worksheets/sheet3.xml" Id="Rad80216c6b9b4097" /><Relationship Type="http://schemas.openxmlformats.org/officeDocument/2006/relationships/worksheet" Target="/xl/worksheets/sheet4.xml" Id="Rf60cc91867ef4cfe" /><Relationship Type="http://schemas.openxmlformats.org/officeDocument/2006/relationships/worksheet" Target="/xl/worksheets/sheet5.xml" Id="R6bc4271ff27246d1" /><Relationship Type="http://schemas.openxmlformats.org/officeDocument/2006/relationships/worksheet" Target="/xl/worksheets/sheet6.xml" Id="R539cbcc003d44e0a" /><Relationship Type="http://schemas.openxmlformats.org/officeDocument/2006/relationships/worksheet" Target="/xl/worksheets/sheet7.xml" Id="R99a955cfa4b349a5" /><Relationship Type="http://schemas.openxmlformats.org/officeDocument/2006/relationships/worksheet" Target="/xl/worksheets/sheet8.xml" Id="Ref25677da2a64a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892cb6307e4a3d" /><Relationship Type="http://schemas.openxmlformats.org/officeDocument/2006/relationships/chart" Target="/xl/drawings/charts/chart2.xml" Id="Rc38d48c035c547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71a181d43ca4ba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2e26b18bf074e96" /><Relationship Type="http://schemas.openxmlformats.org/officeDocument/2006/relationships/chart" Target="/xl/drawings/charts/chart5.xml" Id="Rd7f5383cd5574fa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f4f8439c357c46e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a5460a782d742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revenue (EUR)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'Monthly Trends'!$A$6:$A$29</c:f>
              <c:strCache>
                <c:ptCount val="0"/>
              </c:strCache>
            </c:strRef>
          </c:cat>
          <c:val>
            <c:numRef>
              <c:f>'Monthly Trends'!$I$6:$I$29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Commerce funnel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Stage Count</c:v>
          </c:tx>
          <c:spPr>
            <a:solidFill xmlns:a="http://schemas.openxmlformats.org/drawingml/2006/main">
              <a:srgbClr val="0891B2"/>
            </a:solidFill>
          </c:spPr>
          <c:cat>
            <c:strRef>
              <c:f>'Channel &amp; Funnel'!$A$16:$A$20</c:f>
              <c:strCache>
                <c:ptCount val="0"/>
              </c:strCache>
            </c:strRef>
          </c:cat>
          <c:val>
            <c:numRef>
              <c:f>'Channel &amp; Funnel'!$B$16:$B$20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net revenue and gross profit (EUR)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'Monthly Trends'!$A$6:$A$29</c:f>
              <c:strCache>
                <c:ptCount val="0"/>
              </c:strCache>
            </c:strRef>
          </c:cat>
          <c:val>
            <c:numRef>
              <c:f>'Monthly Trends'!$I$6:$I$29</c:f>
              <c:numCache>
                <c:formatCode>€#,##0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'Monthly Trends'!$A$6:$A$29</c:f>
              <c:strCache>
                <c:ptCount val="0"/>
              </c:strCache>
            </c:strRef>
          </c:cat>
          <c:val>
            <c:numRef>
              <c:f>'Monthly Trends'!$J$6:$J$29</c:f>
              <c:numCache>
                <c:formatCode>€#,##0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Overall commerce funnel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'Channel &amp; Funnel'!$A$16:$A$20</c:f>
              <c:strCache>
                <c:ptCount val="0"/>
              </c:strCache>
            </c:strRef>
          </c:cat>
          <c:val>
            <c:numRef>
              <c:f>'Channel &amp; Funnel'!$B$16:$B$20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90-day revenue per acquired customer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 / Acquired</c:v>
          </c:tx>
          <c:spPr>
            <a:solidFill xmlns:a="http://schemas.openxmlformats.org/drawingml/2006/main">
              <a:srgbClr val="0891B2"/>
            </a:solidFill>
          </c:spPr>
          <c:cat>
            <c:strRef>
              <c:f>'Channel &amp; Funnel'!$M$6:$M$11</c:f>
              <c:strCache>
                <c:ptCount val="0"/>
              </c:strCache>
            </c:strRef>
          </c:cat>
          <c:val>
            <c:numRef>
              <c:f>'Channel &amp; Funnel'!$Q$6:$Q$11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revenue by RFM segment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'Customer Segments'!$H$6:$H$12</c:f>
              <c:strCache>
                <c:ptCount val="0"/>
              </c:strCache>
            </c:strRef>
          </c:cat>
          <c:val>
            <c:numRef>
              <c:f>'Customer Segments'!$C$6:$C$12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net revenue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'Product &amp; Region'!$A$6:$A$12</c:f>
              <c:strCache>
                <c:ptCount val="0"/>
              </c:strCache>
            </c:strRef>
          </c:cat>
          <c:val>
            <c:numRef>
              <c:f>'Product &amp; Region'!$D$6:$D$12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892cb6307e4a3d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8d48c035c5477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19</xdr:col>
      <xdr:colOff>0</xdr:colOff>
      <xdr:row>4</xdr:row>
      <xdr:rowOff>0</xdr:rowOff>
    </xdr:from>
    <xdr:to>
      <xdr:col>29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1a181d43ca4ba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e26b18bf074e96"/>
        </a:graphicData>
      </a:graphic>
    </xdr:graphicFrame>
    <xdr:clientData/>
  </xdr:twoCellAnchor>
  <xdr:twoCellAnchor>
    <xdr:from>
      <xdr:col>12</xdr:col>
      <xdr:colOff>0</xdr:colOff>
      <xdr:row>14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f5383cd5574fa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f8439c357c46e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9</xdr:col>
      <xdr:colOff>0</xdr:colOff>
      <xdr:row>14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5460a782d742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b67bdb145e48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bb19a79201142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08c449dc60348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16c02aa11124d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5f1f9d8135c845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6" customHeight="1">
      <x:c r="A1" s="3" t="str">
        <x:v>Nordstern Commerce | E-Commerce Analytics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6" t="str">
        <x:v>2024-01-01 to 2025-12-31 · EUR · Synthetic, reproducible portfolio dataset (seed 42)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 ht="24" customHeight="1">
      <x:c r="A5" s="61" t="str">
        <x:v>NET REVENUE</x:v>
      </x:c>
      <x:c r="B5" s="62"/>
      <x:c r="C5" s="61" t="str">
        <x:v>COMPLETED ORDERS</x:v>
      </x:c>
      <x:c r="D5" s="62"/>
      <x:c r="E5" s="61" t="str">
        <x:v>AOV</x:v>
      </x:c>
      <x:c r="F5" s="62"/>
      <x:c r="G5" s="61" t="str">
        <x:v>CONVERSION</x:v>
      </x:c>
      <x:c r="H5" s="62"/>
      <x:c r="I5" s="61" t="str">
        <x:v>REPEAT PURCHASE</x:v>
      </x:c>
      <x:c r="J5" s="62"/>
      <x:c r="K5" s="61" t="str">
        <x:v>90-DAY CHURN</x:v>
      </x:c>
      <x:c r="L5" s="62"/>
    </x:row>
    <x:row r="6" ht="22" customHeight="1">
      <x:c r="A6" s="67" t="n">
        <x:f>'KPI Summary'!B6</x:f>
        <x:v>1143543.31</x:v>
      </x:c>
      <x:c r="B6" s="64"/>
      <x:c r="C6" s="72" t="n">
        <x:f>'KPI Summary'!B9</x:f>
        <x:v>8135</x:v>
      </x:c>
      <x:c r="D6" s="69"/>
      <x:c r="E6" s="77" t="n">
        <x:f>'KPI Summary'!B11</x:f>
        <x:v>140.57078180700677</x:v>
      </x:c>
      <x:c r="F6" s="74"/>
      <x:c r="G6" s="82" t="n">
        <x:f>'KPI Summary'!B12</x:f>
        <x:v>0.08816</x:v>
      </x:c>
      <x:c r="H6" s="79"/>
      <x:c r="I6" s="83" t="n">
        <x:f>'KPI Summary'!B14</x:f>
        <x:v>0.3459</x:v>
      </x:c>
      <x:c r="J6" s="64"/>
      <x:c r="K6" s="88" t="n">
        <x:f>'KPI Summary'!B15</x:f>
        <x:v>0.5709665208834463</x:v>
      </x:c>
      <x:c r="L6" s="85"/>
    </x:row>
    <x:row r="7" ht="22" customHeight="1">
      <x:c r="A7" s="63"/>
      <x:c r="B7" s="64"/>
      <x:c r="C7" s="68"/>
      <x:c r="D7" s="69"/>
      <x:c r="E7" s="73"/>
      <x:c r="F7" s="74"/>
      <x:c r="G7" s="78"/>
      <x:c r="H7" s="79"/>
      <x:c r="I7" s="63"/>
      <x:c r="J7" s="64"/>
      <x:c r="K7" s="84"/>
      <x:c r="L7" s="85"/>
    </x:row>
    <x:row r="8" ht="22" customHeight="1">
      <x:c r="A8" s="65"/>
      <x:c r="B8" s="66"/>
      <x:c r="C8" s="70"/>
      <x:c r="D8" s="71"/>
      <x:c r="E8" s="75"/>
      <x:c r="F8" s="76"/>
      <x:c r="G8" s="80"/>
      <x:c r="H8" s="81"/>
      <x:c r="I8" s="65"/>
      <x:c r="J8" s="66"/>
      <x:c r="K8" s="86"/>
      <x:c r="L8" s="87"/>
    </x:row>
    <x:row r="28">
      <x:c r="A28" s="90" t="str">
        <x:v>DECISIONS TO TAKE</x:v>
      </x:c>
      <x:c r="B28" s="90"/>
      <x:c r="C28" s="90"/>
      <x:c r="D28" s="90"/>
      <x:c r="E28" s="90"/>
      <x:c r="F28" s="90"/>
      <x:c r="G28" s="90"/>
      <x:c r="H28" s="90"/>
      <x:c r="I28" s="90"/>
      <x:c r="J28" s="90"/>
      <x:c r="K28" s="90"/>
      <x:c r="L28" s="90"/>
    </x:row>
    <x:row r="29" ht="30" customHeight="1">
      <x:c r="A29" s="111" t="str">
        <x:f>'Recommendations'!B6</x:f>
        <x:v>Increase controlled acquisition tests in Affiliate</x:v>
      </x:c>
      <x:c r="B29" s="112"/>
      <x:c r="C29" s="112"/>
      <x:c r="D29" s="113"/>
      <x:c r="E29" s="111" t="str">
        <x:f>'Recommendations'!B7</x:f>
        <x:v>Reduce checkout abandonment for Social</x:v>
      </x:c>
      <x:c r="F29" s="112"/>
      <x:c r="G29" s="112"/>
      <x:c r="H29" s="113"/>
      <x:c r="I29" s="111" t="str">
        <x:f>'Recommendations'!B8</x:f>
        <x:v>Launch a value-based win-back program for at-risk customers</x:v>
      </x:c>
      <x:c r="J29" s="112"/>
      <x:c r="K29" s="112"/>
      <x:c r="L29" s="113"/>
    </x:row>
    <x:row r="30" ht="30" customHeight="1">
      <x:c r="A30" s="114"/>
      <x:c r="B30" s="115"/>
      <x:c r="C30" s="115"/>
      <x:c r="D30" s="116"/>
      <x:c r="E30" s="114"/>
      <x:c r="F30" s="115"/>
      <x:c r="G30" s="115"/>
      <x:c r="H30" s="116"/>
      <x:c r="I30" s="114"/>
      <x:c r="J30" s="115"/>
      <x:c r="K30" s="115"/>
      <x:c r="L30" s="116"/>
    </x:row>
    <x:row r="31" ht="22" customHeight="1">
      <x:c r="A31" s="117" t="str">
        <x:f>'Recommendations'!C6</x:f>
        <x:v>Matured customers acquired through Affiliate generated EUR 67.06 per acquired customer in 90 days, 123.4% above the all-channel average.</x:v>
      </x:c>
      <x:c r="B31" s="118"/>
      <x:c r="C31" s="118"/>
      <x:c r="D31" s="119"/>
      <x:c r="E31" s="117" t="str">
        <x:f>'Recommendations'!C7</x:f>
        <x:v>Social has the weakest checkout-to-order rate at 70.0%. A 2 percentage-point lift is worth about 26 orders / EUR 3,655 at current AOV.</x:v>
      </x:c>
      <x:c r="F31" s="118"/>
      <x:c r="G31" s="118"/>
      <x:c r="H31" s="119"/>
      <x:c r="I31" s="117" t="str">
        <x:f>'Recommendations'!C8</x:f>
        <x:v>982 at-risk customers represent EUR 282,189 in historical net revenue.</x:v>
      </x:c>
      <x:c r="J31" s="118"/>
      <x:c r="K31" s="118"/>
      <x:c r="L31" s="119"/>
    </x:row>
    <x:row r="32" ht="22" customHeight="1">
      <x:c r="A32" s="117"/>
      <x:c r="B32" s="118"/>
      <x:c r="C32" s="118"/>
      <x:c r="D32" s="119"/>
      <x:c r="E32" s="117"/>
      <x:c r="F32" s="118"/>
      <x:c r="G32" s="118"/>
      <x:c r="H32" s="119"/>
      <x:c r="I32" s="117"/>
      <x:c r="J32" s="118"/>
      <x:c r="K32" s="118"/>
      <x:c r="L32" s="119"/>
    </x:row>
    <x:row r="33" ht="22" customHeight="1">
      <x:c r="A33" s="117"/>
      <x:c r="B33" s="118"/>
      <x:c r="C33" s="118"/>
      <x:c r="D33" s="119"/>
      <x:c r="E33" s="117"/>
      <x:c r="F33" s="118"/>
      <x:c r="G33" s="118"/>
      <x:c r="H33" s="119"/>
      <x:c r="I33" s="117"/>
      <x:c r="J33" s="118"/>
      <x:c r="K33" s="118"/>
      <x:c r="L33" s="119"/>
    </x:row>
    <x:row r="34" ht="22" customHeight="1">
      <x:c r="A34" s="117"/>
      <x:c r="B34" s="118"/>
      <x:c r="C34" s="118"/>
      <x:c r="D34" s="119"/>
      <x:c r="E34" s="117"/>
      <x:c r="F34" s="118"/>
      <x:c r="G34" s="118"/>
      <x:c r="H34" s="119"/>
      <x:c r="I34" s="117"/>
      <x:c r="J34" s="118"/>
      <x:c r="K34" s="118"/>
      <x:c r="L34" s="119"/>
    </x:row>
    <x:row r="35" ht="22" customHeight="1">
      <x:c r="A35" s="120"/>
      <x:c r="B35" s="121"/>
      <x:c r="C35" s="121"/>
      <x:c r="D35" s="122"/>
      <x:c r="E35" s="120"/>
      <x:c r="F35" s="121"/>
      <x:c r="G35" s="121"/>
      <x:c r="H35" s="122"/>
      <x:c r="I35" s="120"/>
      <x:c r="J35" s="121"/>
      <x:c r="K35" s="121"/>
      <x:c r="L35" s="122"/>
    </x:row>
  </x:sheetData>
  <x:mergeCells>
    <x:mergeCell ref="A1:L2"/>
    <x:mergeCell ref="A3:L3"/>
    <x:mergeCell ref="A5:B5"/>
    <x:mergeCell ref="A6:B8"/>
    <x:mergeCell ref="C5:D5"/>
    <x:mergeCell ref="C6:D8"/>
    <x:mergeCell ref="E5:F5"/>
    <x:mergeCell ref="E6:F8"/>
    <x:mergeCell ref="G5:H5"/>
    <x:mergeCell ref="G6:H8"/>
    <x:mergeCell ref="I5:J5"/>
    <x:mergeCell ref="I6:J8"/>
    <x:mergeCell ref="K5:L5"/>
    <x:mergeCell ref="K6:L8"/>
    <x:mergeCell ref="A28:L28"/>
    <x:mergeCell ref="A29:D30"/>
    <x:mergeCell ref="A31:D35"/>
    <x:mergeCell ref="E29:H30"/>
    <x:mergeCell ref="E31:H35"/>
    <x:mergeCell ref="I29:L30"/>
    <x:mergeCell ref="I31:L35"/>
  </x:mergeCells>
  <x:pageMargins left="0.7" right="0.7" top="0.75" bottom="0.75" header="0.3" footer="0.3"/>
  <x:drawing xmlns:r="http://schemas.openxmlformats.org/officeDocument/2006/relationships" r:id="Ra3b67bdb145e486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30" hidden="0" customWidth="1"/>
    <x:col min="4" max="4" width="48" hidden="0" customWidth="1"/>
  </x:cols>
  <x:sheetData>
    <x:row r="1" ht="26" customHeight="1">
      <x:c r="A1" s="3" t="str">
        <x:v>KPI Summary &amp; Metric Contract</x:v>
      </x:c>
      <x:c r="B1" s="3"/>
      <x:c r="C1" s="3"/>
      <x:c r="D1" s="3"/>
    </x:row>
    <x:row r="2" ht="12" customHeight="1">
      <x:c r="A2" s="3"/>
      <x:c r="B2" s="3"/>
      <x:c r="C2" s="3"/>
      <x:c r="D2" s="3"/>
    </x:row>
    <x:row r="3" ht="24" customHeight="1">
      <x:c r="A3" s="6" t="str">
        <x:v>Formula-driven summary used by the Executive Dashboard</x:v>
      </x:c>
      <x:c r="B3" s="6"/>
      <x:c r="C3" s="6"/>
      <x:c r="D3" s="6"/>
    </x:row>
    <x:row r="5">
      <x:c r="A5" s="15" t="str">
        <x:v>Metric</x:v>
      </x:c>
      <x:c r="B5" s="16" t="str">
        <x:v>Value</x:v>
      </x:c>
      <x:c r="C5" s="16" t="str">
        <x:v>Source / Formula</x:v>
      </x:c>
      <x:c r="D5" s="17" t="str">
        <x:v>Business definition</x:v>
      </x:c>
    </x:row>
    <x:row r="6">
      <x:c r="A6" s="23" t="str">
        <x:v>Net Revenue</x:v>
      </x:c>
      <x:c r="B6" s="26" t="n">
        <x:f>SUM('Monthly Trends'!$I$6:$I$29)</x:f>
        <x:v>1143543.31</x:v>
      </x:c>
      <x:c r="C6" s="23" t="str">
        <x:v>SUM monthly net revenue</x:v>
      </x:c>
      <x:c r="D6" s="23" t="str">
        <x:v>Revenue after discounts, shipping, and refunds</x:v>
      </x:c>
    </x:row>
    <x:row r="7">
      <x:c r="A7" s="24" t="str">
        <x:v>Gross Profit</x:v>
      </x:c>
      <x:c r="B7" s="27" t="n">
        <x:f>SUM('Monthly Trends'!$J$6:$J$29)</x:f>
        <x:v>322626.19</x:v>
      </x:c>
      <x:c r="C7" s="24" t="str">
        <x:v>SUM monthly gross profit</x:v>
      </x:c>
      <x:c r="D7" s="24" t="str">
        <x:v>Net revenue less product cost for completed orders</x:v>
      </x:c>
    </x:row>
    <x:row r="8">
      <x:c r="A8" s="24" t="str">
        <x:v>Gross Margin %</x:v>
      </x:c>
      <x:c r="B8" s="28" t="n">
        <x:f>IFERROR(B7/B6,0)</x:f>
        <x:v>0.2821285273401669</x:v>
      </x:c>
      <x:c r="C8" s="24" t="str">
        <x:v>Gross profit / net revenue</x:v>
      </x:c>
      <x:c r="D8" s="24" t="str">
        <x:v>Product-level contribution quality</x:v>
      </x:c>
    </x:row>
    <x:row r="9">
      <x:c r="A9" s="24" t="str">
        <x:v>Completed Orders</x:v>
      </x:c>
      <x:c r="B9" s="29" t="n">
        <x:f>SUM('Monthly Trends'!$E$6:$E$29)</x:f>
        <x:v>8135</x:v>
      </x:c>
      <x:c r="C9" s="24" t="str">
        <x:v>SUM monthly completed orders</x:v>
      </x:c>
      <x:c r="D9" s="24" t="str">
        <x:v>Orders retained after cancellations and returns</x:v>
      </x:c>
    </x:row>
    <x:row r="10">
      <x:c r="A10" s="24" t="str">
        <x:v>Sessions</x:v>
      </x:c>
      <x:c r="B10" s="29" t="n">
        <x:f>SUM('Monthly Trends'!$B$6:$B$29)</x:f>
        <x:v>100000</x:v>
      </x:c>
      <x:c r="C10" s="24" t="str">
        <x:v>SUM monthly sessions</x:v>
      </x:c>
      <x:c r="D10" s="24" t="str">
        <x:v>All tracked commerce sessions</x:v>
      </x:c>
    </x:row>
    <x:row r="11">
      <x:c r="A11" s="24" t="str">
        <x:v>AOV</x:v>
      </x:c>
      <x:c r="B11" s="30" t="n">
        <x:f>IFERROR(B6/B9,0)</x:f>
        <x:v>140.57078180700677</x:v>
      </x:c>
      <x:c r="C11" s="24" t="str">
        <x:v>Net revenue / completed orders</x:v>
      </x:c>
      <x:c r="D11" s="24" t="str">
        <x:v>Average order value</x:v>
      </x:c>
    </x:row>
    <x:row r="12">
      <x:c r="A12" s="24" t="str">
        <x:v>Conversion Rate</x:v>
      </x:c>
      <x:c r="B12" s="28" t="n">
        <x:f>IFERROR(SUM('Monthly Trends'!$C$6:$C$29)/B10,0)</x:f>
        <x:v>0.08816</x:v>
      </x:c>
      <x:c r="C12" s="24" t="str">
        <x:v>Converted sessions / sessions</x:v>
      </x:c>
      <x:c r="D12" s="24" t="str">
        <x:v>Session-to-order conversion</x:v>
      </x:c>
    </x:row>
    <x:row r="13">
      <x:c r="A13" s="24" t="str">
        <x:v>Return Rate</x:v>
      </x:c>
      <x:c r="B13" s="28" t="n">
        <x:f>IFERROR(SUM('Monthly Trends'!$L$6:$L$29)/SUM('Monthly Trends'!$D$6:$D$29),0)</x:f>
        <x:v>0.06011796733212341</x:v>
      </x:c>
      <x:c r="C13" s="24" t="str">
        <x:v>Returned orders / orders</x:v>
      </x:c>
      <x:c r="D13" s="24" t="str">
        <x:v>Share of demand that was returned</x:v>
      </x:c>
    </x:row>
    <x:row r="14">
      <x:c r="A14" s="24" t="str">
        <x:v>Repeat Purchase Rate</x:v>
      </x:c>
      <x:c r="B14" s="28" t="n">
        <x:v>0.3459</x:v>
      </x:c>
      <x:c r="C14" s="24" t="str">
        <x:v>Python customer-level aggregation</x:v>
      </x:c>
      <x:c r="D14" s="24" t="str">
        <x:v>Purchasers with 2+ completed orders / purchasers</x:v>
      </x:c>
    </x:row>
    <x:row r="15">
      <x:c r="A15" s="24" t="str">
        <x:v>90-Day Churn Rate</x:v>
      </x:c>
      <x:c r="B15" s="28" t="n">
        <x:f>IFERROR(SUM('Customer Segments'!$G$6:$G$12)/SUM('Customer Segments'!$B$6:$B$12),0)</x:f>
        <x:v>0.5709665208834463</x:v>
      </x:c>
      <x:c r="C15" s="24" t="str">
        <x:v>Segment churned customers / purchasers</x:v>
      </x:c>
      <x:c r="D15" s="24" t="str">
        <x:v>No completed order in the last 90 days</x:v>
      </x:c>
    </x:row>
    <x:row r="16">
      <x:c r="A16" s="25" t="str">
        <x:v>Month-1 Retention</x:v>
      </x:c>
      <x:c r="B16" s="31" t="n">
        <x:v>0.0895</x:v>
      </x:c>
      <x:c r="C16" s="25" t="str">
        <x:v>SQL cohort aggregation</x:v>
      </x:c>
      <x:c r="D16" s="25" t="str">
        <x:v>Active one month after first order / cohort size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6" customHeight="1">
      <x:c r="A1" s="3" t="str">
        <x:v>Monthly Trading Trends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</x:row>
    <x:row r="3" ht="24" customHeight="1">
      <x:c r="A3" s="6" t="str">
        <x:v>Source metrics plus workbook-calculated month-over-month change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</x:row>
    <x:row r="5">
      <x:c r="A5" s="15" t="str">
        <x:v>Month</x:v>
      </x:c>
      <x:c r="B5" s="16" t="str">
        <x:v>Sessions</x:v>
      </x:c>
      <x:c r="C5" s="16" t="str">
        <x:v>Converted Sessions</x:v>
      </x:c>
      <x:c r="D5" s="16" t="str">
        <x:v>Orders</x:v>
      </x:c>
      <x:c r="E5" s="16" t="str">
        <x:v>Completed Orders</x:v>
      </x:c>
      <x:c r="F5" s="16" t="str">
        <x:v>Gross Revenue</x:v>
      </x:c>
      <x:c r="G5" s="16" t="str">
        <x:v>Discount</x:v>
      </x:c>
      <x:c r="H5" s="16" t="str">
        <x:v>Refunds</x:v>
      </x:c>
      <x:c r="I5" s="16" t="str">
        <x:v>Net Revenue</x:v>
      </x:c>
      <x:c r="J5" s="16" t="str">
        <x:v>Gross Profit</x:v>
      </x:c>
      <x:c r="K5" s="16" t="str">
        <x:v>Active Customers</x:v>
      </x:c>
      <x:c r="L5" s="16" t="str">
        <x:v>Returned Orders</x:v>
      </x:c>
      <x:c r="M5" s="16" t="str">
        <x:v>Conversion Rate</x:v>
      </x:c>
      <x:c r="N5" s="16" t="str">
        <x:v>AOV</x:v>
      </x:c>
      <x:c r="O5" s="16" t="str">
        <x:v>Gross Margin %</x:v>
      </x:c>
      <x:c r="P5" s="16" t="str">
        <x:v>Return Rate</x:v>
      </x:c>
      <x:c r="Q5" s="16" t="str">
        <x:v>Revenue MoM %</x:v>
      </x:c>
      <x:c r="R5" s="17" t="str">
        <x:v>Orders MoM %</x:v>
      </x:c>
    </x:row>
    <x:row r="6">
      <x:c r="A6" s="23" t="str">
        <x:v>2024-01</x:v>
      </x:c>
      <x:c r="B6" s="23" t="n">
        <x:v>986</x:v>
      </x:c>
      <x:c r="C6" s="23" t="n">
        <x:v>67</x:v>
      </x:c>
      <x:c r="D6" s="23" t="n">
        <x:v>67</x:v>
      </x:c>
      <x:c r="E6" s="23" t="n">
        <x:v>66</x:v>
      </x:c>
      <x:c r="F6" s="32" t="n">
        <x:v>8795.92</x:v>
      </x:c>
      <x:c r="G6" s="32" t="n">
        <x:v>424.49</x:v>
      </x:c>
      <x:c r="H6" s="32" t="n">
        <x:v>155.8</x:v>
      </x:c>
      <x:c r="I6" s="32" t="n">
        <x:v>8338.13</x:v>
      </x:c>
      <x:c r="J6" s="32" t="n">
        <x:v>2378.4</x:v>
      </x:c>
      <x:c r="K6" s="23" t="n">
        <x:v>12</x:v>
      </x:c>
      <x:c r="L6" s="23" t="n">
        <x:v>0</x:v>
      </x:c>
      <x:c r="M6" s="34" t="n">
        <x:v>0.068</x:v>
      </x:c>
      <x:c r="N6" s="32" t="n">
        <x:v>126.34</x:v>
      </x:c>
      <x:c r="O6" s="34" t="n">
        <x:v>0.2852</x:v>
      </x:c>
      <x:c r="P6" s="34" t="n">
        <x:v>0</x:v>
      </x:c>
      <x:c r="Q6" s="34"/>
      <x:c r="R6" s="34"/>
    </x:row>
    <x:row r="7">
      <x:c r="A7" s="24" t="str">
        <x:v>2024-02</x:v>
      </x:c>
      <x:c r="B7" s="24" t="n">
        <x:v>1047</x:v>
      </x:c>
      <x:c r="C7" s="24" t="n">
        <x:v>87</x:v>
      </x:c>
      <x:c r="D7" s="24" t="n">
        <x:v>87</x:v>
      </x:c>
      <x:c r="E7" s="24" t="n">
        <x:v>79</x:v>
      </x:c>
      <x:c r="F7" s="30" t="n">
        <x:v>14175.77</x:v>
      </x:c>
      <x:c r="G7" s="30" t="n">
        <x:v>858.12</x:v>
      </x:c>
      <x:c r="H7" s="30" t="n">
        <x:v>1232.73</x:v>
      </x:c>
      <x:c r="I7" s="30" t="n">
        <x:v>12202.52</x:v>
      </x:c>
      <x:c r="J7" s="30" t="n">
        <x:v>3435.66</x:v>
      </x:c>
      <x:c r="K7" s="24" t="n">
        <x:v>20</x:v>
      </x:c>
      <x:c r="L7" s="24" t="n">
        <x:v>7</x:v>
      </x:c>
      <x:c r="M7" s="28" t="n">
        <x:v>0.0831</x:v>
      </x:c>
      <x:c r="N7" s="30" t="n">
        <x:v>154.46</x:v>
      </x:c>
      <x:c r="O7" s="28" t="n">
        <x:v>0.2816</x:v>
      </x:c>
      <x:c r="P7" s="28" t="n">
        <x:v>0.0805</x:v>
      </x:c>
      <x:c r="Q7" s="28" t="n">
        <x:f>IFERROR(I7/I6-1,0)</x:f>
        <x:v>0.4634600324053477</x:v>
      </x:c>
      <x:c r="R7" s="28" t="n">
        <x:f>IFERROR(E7/E6-1,0)</x:f>
        <x:v>0.19696969696969702</x:v>
      </x:c>
    </x:row>
    <x:row r="8">
      <x:c r="A8" s="24" t="str">
        <x:v>2024-03</x:v>
      </x:c>
      <x:c r="B8" s="24" t="n">
        <x:v>1323</x:v>
      </x:c>
      <x:c r="C8" s="24" t="n">
        <x:v>113</x:v>
      </x:c>
      <x:c r="D8" s="24" t="n">
        <x:v>113</x:v>
      </x:c>
      <x:c r="E8" s="24" t="n">
        <x:v>107</x:v>
      </x:c>
      <x:c r="F8" s="30" t="n">
        <x:v>15161.23</x:v>
      </x:c>
      <x:c r="G8" s="30" t="n">
        <x:v>904.38</x:v>
      </x:c>
      <x:c r="H8" s="30" t="n">
        <x:v>676.31</x:v>
      </x:c>
      <x:c r="I8" s="30" t="n">
        <x:v>13805.94</x:v>
      </x:c>
      <x:c r="J8" s="30" t="n">
        <x:v>3948.85</x:v>
      </x:c>
      <x:c r="K8" s="24" t="n">
        <x:v>33</x:v>
      </x:c>
      <x:c r="L8" s="24" t="n">
        <x:v>5</x:v>
      </x:c>
      <x:c r="M8" s="28" t="n">
        <x:v>0.0854</x:v>
      </x:c>
      <x:c r="N8" s="30" t="n">
        <x:v>129.03</x:v>
      </x:c>
      <x:c r="O8" s="28" t="n">
        <x:v>0.286</x:v>
      </x:c>
      <x:c r="P8" s="28" t="n">
        <x:v>0.0442</x:v>
      </x:c>
      <x:c r="Q8" s="28" t="n">
        <x:f>IFERROR(I8/I7-1,0)</x:f>
        <x:v>0.13140072706293449</x:v>
      </x:c>
      <x:c r="R8" s="28" t="n">
        <x:f>IFERROR(E8/E7-1,0)</x:f>
        <x:v>0.35443037974683533</x:v>
      </x:c>
    </x:row>
    <x:row r="9">
      <x:c r="A9" s="24" t="str">
        <x:v>2024-04</x:v>
      </x:c>
      <x:c r="B9" s="24" t="n">
        <x:v>1421</x:v>
      </x:c>
      <x:c r="C9" s="24" t="n">
        <x:v>113</x:v>
      </x:c>
      <x:c r="D9" s="24" t="n">
        <x:v>113</x:v>
      </x:c>
      <x:c r="E9" s="24" t="n">
        <x:v>106</x:v>
      </x:c>
      <x:c r="F9" s="30" t="n">
        <x:v>12811.01</x:v>
      </x:c>
      <x:c r="G9" s="30" t="n">
        <x:v>750.58</x:v>
      </x:c>
      <x:c r="H9" s="30" t="n">
        <x:v>861.48</x:v>
      </x:c>
      <x:c r="I9" s="30" t="n">
        <x:v>11439.05</x:v>
      </x:c>
      <x:c r="J9" s="30" t="n">
        <x:v>3285.51</x:v>
      </x:c>
      <x:c r="K9" s="24" t="n">
        <x:v>37</x:v>
      </x:c>
      <x:c r="L9" s="24" t="n">
        <x:v>6</x:v>
      </x:c>
      <x:c r="M9" s="28" t="n">
        <x:v>0.0795</x:v>
      </x:c>
      <x:c r="N9" s="30" t="n">
        <x:v>107.92</x:v>
      </x:c>
      <x:c r="O9" s="28" t="n">
        <x:v>0.2872</x:v>
      </x:c>
      <x:c r="P9" s="28" t="n">
        <x:v>0.0531</x:v>
      </x:c>
      <x:c r="Q9" s="28" t="n">
        <x:f>IFERROR(I9/I8-1,0)</x:f>
        <x:v>-0.1714399743878361</x:v>
      </x:c>
      <x:c r="R9" s="28" t="n">
        <x:f>IFERROR(E9/E8-1,0)</x:f>
        <x:v>-0.009345794392523366</x:v>
      </x:c>
    </x:row>
    <x:row r="10">
      <x:c r="A10" s="24" t="str">
        <x:v>2024-05</x:v>
      </x:c>
      <x:c r="B10" s="24" t="n">
        <x:v>1652</x:v>
      </x:c>
      <x:c r="C10" s="24" t="n">
        <x:v>119</x:v>
      </x:c>
      <x:c r="D10" s="24" t="n">
        <x:v>119</x:v>
      </x:c>
      <x:c r="E10" s="24" t="n">
        <x:v>107</x:v>
      </x:c>
      <x:c r="F10" s="30" t="n">
        <x:v>18280.57</x:v>
      </x:c>
      <x:c r="G10" s="30" t="n">
        <x:v>1049.92</x:v>
      </x:c>
      <x:c r="H10" s="30" t="n">
        <x:v>1407.02</x:v>
      </x:c>
      <x:c r="I10" s="30" t="n">
        <x:v>15980.43</x:v>
      </x:c>
      <x:c r="J10" s="30" t="n">
        <x:v>4409.62</x:v>
      </x:c>
      <x:c r="K10" s="24" t="n">
        <x:v>65</x:v>
      </x:c>
      <x:c r="L10" s="24" t="n">
        <x:v>12</x:v>
      </x:c>
      <x:c r="M10" s="28" t="n">
        <x:v>0.072</x:v>
      </x:c>
      <x:c r="N10" s="30" t="n">
        <x:v>149.35</x:v>
      </x:c>
      <x:c r="O10" s="28" t="n">
        <x:v>0.2759</x:v>
      </x:c>
      <x:c r="P10" s="28" t="n">
        <x:v>0.1008</x:v>
      </x:c>
      <x:c r="Q10" s="28" t="n">
        <x:f>IFERROR(I10/I9-1,0)</x:f>
        <x:v>0.39700674444119066</x:v>
      </x:c>
      <x:c r="R10" s="28" t="n">
        <x:f>IFERROR(E10/E9-1,0)</x:f>
        <x:v>0.009433962264151052</x:v>
      </x:c>
    </x:row>
    <x:row r="11">
      <x:c r="A11" s="24" t="str">
        <x:v>2024-06</x:v>
      </x:c>
      <x:c r="B11" s="24" t="n">
        <x:v>1691</x:v>
      </x:c>
      <x:c r="C11" s="24" t="n">
        <x:v>142</x:v>
      </x:c>
      <x:c r="D11" s="24" t="n">
        <x:v>142</x:v>
      </x:c>
      <x:c r="E11" s="24" t="n">
        <x:v>130</x:v>
      </x:c>
      <x:c r="F11" s="30" t="n">
        <x:v>20366.71</x:v>
      </x:c>
      <x:c r="G11" s="30" t="n">
        <x:v>1087.5</x:v>
      </x:c>
      <x:c r="H11" s="30" t="n">
        <x:v>2030.62</x:v>
      </x:c>
      <x:c r="I11" s="30" t="n">
        <x:v>17473.99</x:v>
      </x:c>
      <x:c r="J11" s="30" t="n">
        <x:v>4866.43</x:v>
      </x:c>
      <x:c r="K11" s="24" t="n">
        <x:v>68</x:v>
      </x:c>
      <x:c r="L11" s="24" t="n">
        <x:v>8</x:v>
      </x:c>
      <x:c r="M11" s="28" t="n">
        <x:v>0.084</x:v>
      </x:c>
      <x:c r="N11" s="30" t="n">
        <x:v>134.42</x:v>
      </x:c>
      <x:c r="O11" s="28" t="n">
        <x:v>0.2785</x:v>
      </x:c>
      <x:c r="P11" s="28" t="n">
        <x:v>0.0563</x:v>
      </x:c>
      <x:c r="Q11" s="28" t="n">
        <x:f>IFERROR(I11/I10-1,0)</x:f>
        <x:v>0.09346181548306287</x:v>
      </x:c>
      <x:c r="R11" s="28" t="n">
        <x:f>IFERROR(E11/E10-1,0)</x:f>
        <x:v>0.2149532710280373</x:v>
      </x:c>
    </x:row>
    <x:row r="12">
      <x:c r="A12" s="24" t="str">
        <x:v>2024-07</x:v>
      </x:c>
      <x:c r="B12" s="24" t="n">
        <x:v>1960</x:v>
      </x:c>
      <x:c r="C12" s="24" t="n">
        <x:v>185</x:v>
      </x:c>
      <x:c r="D12" s="24" t="n">
        <x:v>185</x:v>
      </x:c>
      <x:c r="E12" s="24" t="n">
        <x:v>173</x:v>
      </x:c>
      <x:c r="F12" s="30" t="n">
        <x:v>26712.98</x:v>
      </x:c>
      <x:c r="G12" s="30" t="n">
        <x:v>1364.66</x:v>
      </x:c>
      <x:c r="H12" s="30" t="n">
        <x:v>1272.9</x:v>
      </x:c>
      <x:c r="I12" s="30" t="n">
        <x:v>24364.52</x:v>
      </x:c>
      <x:c r="J12" s="30" t="n">
        <x:v>6962.81</x:v>
      </x:c>
      <x:c r="K12" s="24" t="n">
        <x:v>108</x:v>
      </x:c>
      <x:c r="L12" s="24" t="n">
        <x:v>11</x:v>
      </x:c>
      <x:c r="M12" s="28" t="n">
        <x:v>0.0944</x:v>
      </x:c>
      <x:c r="N12" s="30" t="n">
        <x:v>140.84</x:v>
      </x:c>
      <x:c r="O12" s="28" t="n">
        <x:v>0.2858</x:v>
      </x:c>
      <x:c r="P12" s="28" t="n">
        <x:v>0.0595</x:v>
      </x:c>
      <x:c r="Q12" s="28" t="n">
        <x:f>IFERROR(I12/I11-1,0)</x:f>
        <x:v>0.39433065945442336</x:v>
      </x:c>
      <x:c r="R12" s="28" t="n">
        <x:f>IFERROR(E12/E11-1,0)</x:f>
        <x:v>0.3307692307692307</x:v>
      </x:c>
    </x:row>
    <x:row r="13">
      <x:c r="A13" s="24" t="str">
        <x:v>2024-08</x:v>
      </x:c>
      <x:c r="B13" s="24" t="n">
        <x:v>2315</x:v>
      </x:c>
      <x:c r="C13" s="24" t="n">
        <x:v>179</x:v>
      </x:c>
      <x:c r="D13" s="24" t="n">
        <x:v>179</x:v>
      </x:c>
      <x:c r="E13" s="24" t="n">
        <x:v>167</x:v>
      </x:c>
      <x:c r="F13" s="30" t="n">
        <x:v>24468.57</x:v>
      </x:c>
      <x:c r="G13" s="30" t="n">
        <x:v>1429.08</x:v>
      </x:c>
      <x:c r="H13" s="30" t="n">
        <x:v>1626.11</x:v>
      </x:c>
      <x:c r="I13" s="30" t="n">
        <x:v>21712.28</x:v>
      </x:c>
      <x:c r="J13" s="30" t="n">
        <x:v>5917.04</x:v>
      </x:c>
      <x:c r="K13" s="24" t="n">
        <x:v>112</x:v>
      </x:c>
      <x:c r="L13" s="24" t="n">
        <x:v>11</x:v>
      </x:c>
      <x:c r="M13" s="28" t="n">
        <x:v>0.0773</x:v>
      </x:c>
      <x:c r="N13" s="30" t="n">
        <x:v>130.01</x:v>
      </x:c>
      <x:c r="O13" s="28" t="n">
        <x:v>0.2725</x:v>
      </x:c>
      <x:c r="P13" s="28" t="n">
        <x:v>0.0615</x:v>
      </x:c>
      <x:c r="Q13" s="28" t="n">
        <x:f>IFERROR(I13/I12-1,0)</x:f>
        <x:v>-0.10885664893049407</x:v>
      </x:c>
      <x:c r="R13" s="28" t="n">
        <x:f>IFERROR(E13/E12-1,0)</x:f>
        <x:v>-0.034682080924855474</x:v>
      </x:c>
    </x:row>
    <x:row r="14">
      <x:c r="A14" s="24" t="str">
        <x:v>2024-09</x:v>
      </x:c>
      <x:c r="B14" s="24" t="n">
        <x:v>2396</x:v>
      </x:c>
      <x:c r="C14" s="24" t="n">
        <x:v>187</x:v>
      </x:c>
      <x:c r="D14" s="24" t="n">
        <x:v>187</x:v>
      </x:c>
      <x:c r="E14" s="24" t="n">
        <x:v>178</x:v>
      </x:c>
      <x:c r="F14" s="30" t="n">
        <x:v>27683.8</x:v>
      </x:c>
      <x:c r="G14" s="30" t="n">
        <x:v>1562.07</x:v>
      </x:c>
      <x:c r="H14" s="30" t="n">
        <x:v>1506.01</x:v>
      </x:c>
      <x:c r="I14" s="30" t="n">
        <x:v>24890.12</x:v>
      </x:c>
      <x:c r="J14" s="30" t="n">
        <x:v>6942.79</x:v>
      </x:c>
      <x:c r="K14" s="24" t="n">
        <x:v>118</x:v>
      </x:c>
      <x:c r="L14" s="24" t="n">
        <x:v>5</x:v>
      </x:c>
      <x:c r="M14" s="28" t="n">
        <x:v>0.078</x:v>
      </x:c>
      <x:c r="N14" s="30" t="n">
        <x:v>139.83</x:v>
      </x:c>
      <x:c r="O14" s="28" t="n">
        <x:v>0.2789</x:v>
      </x:c>
      <x:c r="P14" s="28" t="n">
        <x:v>0.0267</x:v>
      </x:c>
      <x:c r="Q14" s="28" t="n">
        <x:f>IFERROR(I14/I13-1,0)</x:f>
        <x:v>0.14636141390954793</x:v>
      </x:c>
      <x:c r="R14" s="28" t="n">
        <x:f>IFERROR(E14/E13-1,0)</x:f>
        <x:v>0.06586826347305386</x:v>
      </x:c>
    </x:row>
    <x:row r="15">
      <x:c r="A15" s="24" t="str">
        <x:v>2024-10</x:v>
      </x:c>
      <x:c r="B15" s="24" t="n">
        <x:v>2635</x:v>
      </x:c>
      <x:c r="C15" s="24" t="n">
        <x:v>215</x:v>
      </x:c>
      <x:c r="D15" s="24" t="n">
        <x:v>215</x:v>
      </x:c>
      <x:c r="E15" s="24" t="n">
        <x:v>200</x:v>
      </x:c>
      <x:c r="F15" s="30" t="n">
        <x:v>29460.56</x:v>
      </x:c>
      <x:c r="G15" s="30" t="n">
        <x:v>1682.57</x:v>
      </x:c>
      <x:c r="H15" s="30" t="n">
        <x:v>2291.82</x:v>
      </x:c>
      <x:c r="I15" s="30" t="n">
        <x:v>25912.47</x:v>
      </x:c>
      <x:c r="J15" s="30" t="n">
        <x:v>7279.57</x:v>
      </x:c>
      <x:c r="K15" s="24" t="n">
        <x:v>140</x:v>
      </x:c>
      <x:c r="L15" s="24" t="n">
        <x:v>10</x:v>
      </x:c>
      <x:c r="M15" s="28" t="n">
        <x:v>0.0816</x:v>
      </x:c>
      <x:c r="N15" s="30" t="n">
        <x:v>129.56</x:v>
      </x:c>
      <x:c r="O15" s="28" t="n">
        <x:v>0.2809</x:v>
      </x:c>
      <x:c r="P15" s="28" t="n">
        <x:v>0.0465</x:v>
      </x:c>
      <x:c r="Q15" s="28" t="n">
        <x:f>IFERROR(I15/I14-1,0)</x:f>
        <x:v>0.04107453077767409</x:v>
      </x:c>
      <x:c r="R15" s="28" t="n">
        <x:f>IFERROR(E15/E14-1,0)</x:f>
        <x:v>0.12359550561797761</x:v>
      </x:c>
    </x:row>
    <x:row r="16">
      <x:c r="A16" s="24" t="str">
        <x:v>2024-11</x:v>
      </x:c>
      <x:c r="B16" s="24" t="n">
        <x:v>2880</x:v>
      </x:c>
      <x:c r="C16" s="24" t="n">
        <x:v>252</x:v>
      </x:c>
      <x:c r="D16" s="24" t="n">
        <x:v>252</x:v>
      </x:c>
      <x:c r="E16" s="24" t="n">
        <x:v>234</x:v>
      </x:c>
      <x:c r="F16" s="30" t="n">
        <x:v>36471.4</x:v>
      </x:c>
      <x:c r="G16" s="30" t="n">
        <x:v>2049.65</x:v>
      </x:c>
      <x:c r="H16" s="30" t="n">
        <x:v>2646.16</x:v>
      </x:c>
      <x:c r="I16" s="30" t="n">
        <x:v>32143.09</x:v>
      </x:c>
      <x:c r="J16" s="30" t="n">
        <x:v>8959.67</x:v>
      </x:c>
      <x:c r="K16" s="24" t="n">
        <x:v>173</x:v>
      </x:c>
      <x:c r="L16" s="24" t="n">
        <x:v>15</x:v>
      </x:c>
      <x:c r="M16" s="28" t="n">
        <x:v>0.0875</x:v>
      </x:c>
      <x:c r="N16" s="30" t="n">
        <x:v>137.36</x:v>
      </x:c>
      <x:c r="O16" s="28" t="n">
        <x:v>0.2787</x:v>
      </x:c>
      <x:c r="P16" s="28" t="n">
        <x:v>0.0595</x:v>
      </x:c>
      <x:c r="Q16" s="28" t="n">
        <x:f>IFERROR(I16/I15-1,0)</x:f>
        <x:v>0.24044871060149808</x:v>
      </x:c>
      <x:c r="R16" s="28" t="n">
        <x:f>IFERROR(E16/E15-1,0)</x:f>
        <x:v>0.16999999999999993</x:v>
      </x:c>
    </x:row>
    <x:row r="17">
      <x:c r="A17" s="24" t="str">
        <x:v>2024-12</x:v>
      </x:c>
      <x:c r="B17" s="24" t="n">
        <x:v>3154</x:v>
      </x:c>
      <x:c r="C17" s="24" t="n">
        <x:v>253</x:v>
      </x:c>
      <x:c r="D17" s="24" t="n">
        <x:v>253</x:v>
      </x:c>
      <x:c r="E17" s="24" t="n">
        <x:v>232</x:v>
      </x:c>
      <x:c r="F17" s="30" t="n">
        <x:v>35419.9</x:v>
      </x:c>
      <x:c r="G17" s="30" t="n">
        <x:v>1981.69</x:v>
      </x:c>
      <x:c r="H17" s="30" t="n">
        <x:v>2415.32</x:v>
      </x:c>
      <x:c r="I17" s="30" t="n">
        <x:v>31434.49</x:v>
      </x:c>
      <x:c r="J17" s="30" t="n">
        <x:v>8868.25</x:v>
      </x:c>
      <x:c r="K17" s="24" t="n">
        <x:v>172</x:v>
      </x:c>
      <x:c r="L17" s="24" t="n">
        <x:v>16</x:v>
      </x:c>
      <x:c r="M17" s="28" t="n">
        <x:v>0.0802</x:v>
      </x:c>
      <x:c r="N17" s="30" t="n">
        <x:v>135.49</x:v>
      </x:c>
      <x:c r="O17" s="28" t="n">
        <x:v>0.2821</x:v>
      </x:c>
      <x:c r="P17" s="28" t="n">
        <x:v>0.0632</x:v>
      </x:c>
      <x:c r="Q17" s="28" t="n">
        <x:f>IFERROR(I17/I16-1,0)</x:f>
        <x:v>-0.02204517362829772</x:v>
      </x:c>
      <x:c r="R17" s="28" t="n">
        <x:f>IFERROR(E17/E16-1,0)</x:f>
        <x:v>-0.008547008547008517</x:v>
      </x:c>
    </x:row>
    <x:row r="18">
      <x:c r="A18" s="24" t="str">
        <x:v>2025-01</x:v>
      </x:c>
      <x:c r="B18" s="24" t="n">
        <x:v>3406</x:v>
      </x:c>
      <x:c r="C18" s="24" t="n">
        <x:v>320</x:v>
      </x:c>
      <x:c r="D18" s="24" t="n">
        <x:v>320</x:v>
      </x:c>
      <x:c r="E18" s="24" t="n">
        <x:v>294</x:v>
      </x:c>
      <x:c r="F18" s="30" t="n">
        <x:v>46558.17</x:v>
      </x:c>
      <x:c r="G18" s="30" t="n">
        <x:v>2511.78</x:v>
      </x:c>
      <x:c r="H18" s="30" t="n">
        <x:v>3964.69</x:v>
      </x:c>
      <x:c r="I18" s="30" t="n">
        <x:v>40532.5</x:v>
      </x:c>
      <x:c r="J18" s="30" t="n">
        <x:v>11524.82</x:v>
      </x:c>
      <x:c r="K18" s="24" t="n">
        <x:v>230</x:v>
      </x:c>
      <x:c r="L18" s="24" t="n">
        <x:v>20</x:v>
      </x:c>
      <x:c r="M18" s="28" t="n">
        <x:v>0.094</x:v>
      </x:c>
      <x:c r="N18" s="30" t="n">
        <x:v>137.87</x:v>
      </x:c>
      <x:c r="O18" s="28" t="n">
        <x:v>0.2843</x:v>
      </x:c>
      <x:c r="P18" s="28" t="n">
        <x:v>0.0625</x:v>
      </x:c>
      <x:c r="Q18" s="28" t="n">
        <x:f>IFERROR(I18/I17-1,0)</x:f>
        <x:v>0.28942763187823295</x:v>
      </x:c>
      <x:c r="R18" s="28" t="n">
        <x:f>IFERROR(E18/E17-1,0)</x:f>
        <x:v>0.26724137931034475</x:v>
      </x:c>
    </x:row>
    <x:row r="19">
      <x:c r="A19" s="24" t="str">
        <x:v>2025-02</x:v>
      </x:c>
      <x:c r="B19" s="24" t="n">
        <x:v>3450</x:v>
      </x:c>
      <x:c r="C19" s="24" t="n">
        <x:v>297</x:v>
      </x:c>
      <x:c r="D19" s="24" t="n">
        <x:v>297</x:v>
      </x:c>
      <x:c r="E19" s="24" t="n">
        <x:v>281</x:v>
      </x:c>
      <x:c r="F19" s="30" t="n">
        <x:v>47624.59</x:v>
      </x:c>
      <x:c r="G19" s="30" t="n">
        <x:v>2566.04</x:v>
      </x:c>
      <x:c r="H19" s="30" t="n">
        <x:v>2159.9</x:v>
      </x:c>
      <x:c r="I19" s="30" t="n">
        <x:v>43329.85</x:v>
      </x:c>
      <x:c r="J19" s="30" t="n">
        <x:v>12446.12</x:v>
      </x:c>
      <x:c r="K19" s="24" t="n">
        <x:v>221</x:v>
      </x:c>
      <x:c r="L19" s="24" t="n">
        <x:v>16</x:v>
      </x:c>
      <x:c r="M19" s="28" t="n">
        <x:v>0.0861</x:v>
      </x:c>
      <x:c r="N19" s="30" t="n">
        <x:v>154.2</x:v>
      </x:c>
      <x:c r="O19" s="28" t="n">
        <x:v>0.2872</x:v>
      </x:c>
      <x:c r="P19" s="28" t="n">
        <x:v>0.0539</x:v>
      </x:c>
      <x:c r="Q19" s="28" t="n">
        <x:f>IFERROR(I19/I18-1,0)</x:f>
        <x:v>0.06901498797261452</x:v>
      </x:c>
      <x:c r="R19" s="28" t="n">
        <x:f>IFERROR(E19/E18-1,0)</x:f>
        <x:v>-0.04421768707482998</x:v>
      </x:c>
    </x:row>
    <x:row r="20">
      <x:c r="A20" s="24" t="str">
        <x:v>2025-03</x:v>
      </x:c>
      <x:c r="B20" s="24" t="n">
        <x:v>4158</x:v>
      </x:c>
      <x:c r="C20" s="24" t="n">
        <x:v>369</x:v>
      </x:c>
      <x:c r="D20" s="24" t="n">
        <x:v>369</x:v>
      </x:c>
      <x:c r="E20" s="24" t="n">
        <x:v>332</x:v>
      </x:c>
      <x:c r="F20" s="30" t="n">
        <x:v>53272.2</x:v>
      </x:c>
      <x:c r="G20" s="30" t="n">
        <x:v>2594.48</x:v>
      </x:c>
      <x:c r="H20" s="30" t="n">
        <x:v>5844.82</x:v>
      </x:c>
      <x:c r="I20" s="30" t="n">
        <x:v>45367</x:v>
      </x:c>
      <x:c r="J20" s="30" t="n">
        <x:v>12926.25</x:v>
      </x:c>
      <x:c r="K20" s="24" t="n">
        <x:v>270</x:v>
      </x:c>
      <x:c r="L20" s="24" t="n">
        <x:v>30</x:v>
      </x:c>
      <x:c r="M20" s="28" t="n">
        <x:v>0.0887</x:v>
      </x:c>
      <x:c r="N20" s="30" t="n">
        <x:v>136.65</x:v>
      </x:c>
      <x:c r="O20" s="28" t="n">
        <x:v>0.2849</x:v>
      </x:c>
      <x:c r="P20" s="28" t="n">
        <x:v>0.0813</x:v>
      </x:c>
      <x:c r="Q20" s="28" t="n">
        <x:f>IFERROR(I20/I19-1,0)</x:f>
        <x:v>0.04701493312347038</x:v>
      </x:c>
      <x:c r="R20" s="28" t="n">
        <x:f>IFERROR(E20/E19-1,0)</x:f>
        <x:v>0.18149466192170816</x:v>
      </x:c>
    </x:row>
    <x:row r="21">
      <x:c r="A21" s="24" t="str">
        <x:v>2025-04</x:v>
      </x:c>
      <x:c r="B21" s="24" t="n">
        <x:v>4317</x:v>
      </x:c>
      <x:c r="C21" s="24" t="n">
        <x:v>378</x:v>
      </x:c>
      <x:c r="D21" s="24" t="n">
        <x:v>378</x:v>
      </x:c>
      <x:c r="E21" s="24" t="n">
        <x:v>349</x:v>
      </x:c>
      <x:c r="F21" s="30" t="n">
        <x:v>58872.37</x:v>
      </x:c>
      <x:c r="G21" s="30" t="n">
        <x:v>3001.73</x:v>
      </x:c>
      <x:c r="H21" s="30" t="n">
        <x:v>3763.48</x:v>
      </x:c>
      <x:c r="I21" s="30" t="n">
        <x:v>52695.16</x:v>
      </x:c>
      <x:c r="J21" s="30" t="n">
        <x:v>15200.52</x:v>
      </x:c>
      <x:c r="K21" s="24" t="n">
        <x:v>281</x:v>
      </x:c>
      <x:c r="L21" s="24" t="n">
        <x:v>25</x:v>
      </x:c>
      <x:c r="M21" s="28" t="n">
        <x:v>0.0876</x:v>
      </x:c>
      <x:c r="N21" s="30" t="n">
        <x:v>150.99</x:v>
      </x:c>
      <x:c r="O21" s="28" t="n">
        <x:v>0.2885</x:v>
      </x:c>
      <x:c r="P21" s="28" t="n">
        <x:v>0.0661</x:v>
      </x:c>
      <x:c r="Q21" s="28" t="n">
        <x:f>IFERROR(I21/I20-1,0)</x:f>
        <x:v>0.1615306279895079</x:v>
      </x:c>
      <x:c r="R21" s="28" t="n">
        <x:f>IFERROR(E21/E20-1,0)</x:f>
        <x:v>0.051204819277108404</x:v>
      </x:c>
    </x:row>
    <x:row r="22">
      <x:c r="A22" s="24" t="str">
        <x:v>2025-05</x:v>
      </x:c>
      <x:c r="B22" s="24" t="n">
        <x:v>5023</x:v>
      </x:c>
      <x:c r="C22" s="24" t="n">
        <x:v>400</x:v>
      </x:c>
      <x:c r="D22" s="24" t="n">
        <x:v>400</x:v>
      </x:c>
      <x:c r="E22" s="24" t="n">
        <x:v>375</x:v>
      </x:c>
      <x:c r="F22" s="30" t="n">
        <x:v>61207.7</x:v>
      </x:c>
      <x:c r="G22" s="30" t="n">
        <x:v>3158.96</x:v>
      </x:c>
      <x:c r="H22" s="30" t="n">
        <x:v>3324.09</x:v>
      </x:c>
      <x:c r="I22" s="30" t="n">
        <x:v>55317.55</x:v>
      </x:c>
      <x:c r="J22" s="30" t="n">
        <x:v>15765.54</x:v>
      </x:c>
      <x:c r="K22" s="24" t="n">
        <x:v>305</x:v>
      </x:c>
      <x:c r="L22" s="24" t="n">
        <x:v>18</x:v>
      </x:c>
      <x:c r="M22" s="28" t="n">
        <x:v>0.0796</x:v>
      </x:c>
      <x:c r="N22" s="30" t="n">
        <x:v>147.51</x:v>
      </x:c>
      <x:c r="O22" s="28" t="n">
        <x:v>0.285</x:v>
      </x:c>
      <x:c r="P22" s="28" t="n">
        <x:v>0.045</x:v>
      </x:c>
      <x:c r="Q22" s="28" t="n">
        <x:f>IFERROR(I22/I21-1,0)</x:f>
        <x:v>0.04976529153721132</x:v>
      </x:c>
      <x:c r="R22" s="28" t="n">
        <x:f>IFERROR(E22/E21-1,0)</x:f>
        <x:v>0.07449856733524363</x:v>
      </x:c>
    </x:row>
    <x:row r="23">
      <x:c r="A23" s="24" t="str">
        <x:v>2025-06</x:v>
      </x:c>
      <x:c r="B23" s="24" t="n">
        <x:v>5246</x:v>
      </x:c>
      <x:c r="C23" s="24" t="n">
        <x:v>459</x:v>
      </x:c>
      <x:c r="D23" s="24" t="n">
        <x:v>459</x:v>
      </x:c>
      <x:c r="E23" s="24" t="n">
        <x:v>418</x:v>
      </x:c>
      <x:c r="F23" s="30" t="n">
        <x:v>69864.65</x:v>
      </x:c>
      <x:c r="G23" s="30" t="n">
        <x:v>3970.65</x:v>
      </x:c>
      <x:c r="H23" s="30" t="n">
        <x:v>8269.53</x:v>
      </x:c>
      <x:c r="I23" s="30" t="n">
        <x:v>58359.47</x:v>
      </x:c>
      <x:c r="J23" s="30" t="n">
        <x:v>16552.99</x:v>
      </x:c>
      <x:c r="K23" s="24" t="n">
        <x:v>370</x:v>
      </x:c>
      <x:c r="L23" s="24" t="n">
        <x:v>33</x:v>
      </x:c>
      <x:c r="M23" s="28" t="n">
        <x:v>0.0875</x:v>
      </x:c>
      <x:c r="N23" s="30" t="n">
        <x:v>139.62</x:v>
      </x:c>
      <x:c r="O23" s="28" t="n">
        <x:v>0.2836</x:v>
      </x:c>
      <x:c r="P23" s="28" t="n">
        <x:v>0.0719</x:v>
      </x:c>
      <x:c r="Q23" s="28" t="n">
        <x:f>IFERROR(I23/I22-1,0)</x:f>
        <x:v>0.054990143272795056</x:v>
      </x:c>
      <x:c r="R23" s="28" t="n">
        <x:f>IFERROR(E23/E22-1,0)</x:f>
        <x:v>0.1146666666666667</x:v>
      </x:c>
    </x:row>
    <x:row r="24">
      <x:c r="A24" s="24" t="str">
        <x:v>2025-07</x:v>
      </x:c>
      <x:c r="B24" s="24" t="n">
        <x:v>5977</x:v>
      </x:c>
      <x:c r="C24" s="24" t="n">
        <x:v>563</x:v>
      </x:c>
      <x:c r="D24" s="24" t="n">
        <x:v>563</x:v>
      </x:c>
      <x:c r="E24" s="24" t="n">
        <x:v>514</x:v>
      </x:c>
      <x:c r="F24" s="30" t="n">
        <x:v>84765.9</x:v>
      </x:c>
      <x:c r="G24" s="30" t="n">
        <x:v>4579.77</x:v>
      </x:c>
      <x:c r="H24" s="30" t="n">
        <x:v>6753.68</x:v>
      </x:c>
      <x:c r="I24" s="30" t="n">
        <x:v>74358.55</x:v>
      </x:c>
      <x:c r="J24" s="30" t="n">
        <x:v>21332.26</x:v>
      </x:c>
      <x:c r="K24" s="24" t="n">
        <x:v>434</x:v>
      </x:c>
      <x:c r="L24" s="24" t="n">
        <x:v>34</x:v>
      </x:c>
      <x:c r="M24" s="28" t="n">
        <x:v>0.0942</x:v>
      </x:c>
      <x:c r="N24" s="30" t="n">
        <x:v>144.67</x:v>
      </x:c>
      <x:c r="O24" s="28" t="n">
        <x:v>0.2869</x:v>
      </x:c>
      <x:c r="P24" s="28" t="n">
        <x:v>0.0604</x:v>
      </x:c>
      <x:c r="Q24" s="28" t="n">
        <x:f>IFERROR(I24/I23-1,0)</x:f>
        <x:v>0.27414710928663344</x:v>
      </x:c>
      <x:c r="R24" s="28" t="n">
        <x:f>IFERROR(E24/E23-1,0)</x:f>
        <x:v>0.22966507177033502</x:v>
      </x:c>
    </x:row>
    <x:row r="25">
      <x:c r="A25" s="24" t="str">
        <x:v>2025-08</x:v>
      </x:c>
      <x:c r="B25" s="24" t="n">
        <x:v>6486</x:v>
      </x:c>
      <x:c r="C25" s="24" t="n">
        <x:v>593</x:v>
      </x:c>
      <x:c r="D25" s="24" t="n">
        <x:v>593</x:v>
      </x:c>
      <x:c r="E25" s="24" t="n">
        <x:v>542</x:v>
      </x:c>
      <x:c r="F25" s="30" t="n">
        <x:v>89807.59</x:v>
      </x:c>
      <x:c r="G25" s="30" t="n">
        <x:v>4928.92</x:v>
      </x:c>
      <x:c r="H25" s="30" t="n">
        <x:v>8049.04</x:v>
      </x:c>
      <x:c r="I25" s="30" t="n">
        <x:v>77677.33</x:v>
      </x:c>
      <x:c r="J25" s="30" t="n">
        <x:v>21932.09</x:v>
      </x:c>
      <x:c r="K25" s="24" t="n">
        <x:v>461</x:v>
      </x:c>
      <x:c r="L25" s="24" t="n">
        <x:v>39</x:v>
      </x:c>
      <x:c r="M25" s="28" t="n">
        <x:v>0.0914</x:v>
      </x:c>
      <x:c r="N25" s="30" t="n">
        <x:v>143.32</x:v>
      </x:c>
      <x:c r="O25" s="28" t="n">
        <x:v>0.2823</x:v>
      </x:c>
      <x:c r="P25" s="28" t="n">
        <x:v>0.0658</x:v>
      </x:c>
      <x:c r="Q25" s="28" t="n">
        <x:f>IFERROR(I25/I24-1,0)</x:f>
        <x:v>0.04463212367642999</x:v>
      </x:c>
      <x:c r="R25" s="28" t="n">
        <x:f>IFERROR(E25/E24-1,0)</x:f>
        <x:v>0.054474708171206254</x:v>
      </x:c>
    </x:row>
    <x:row r="26">
      <x:c r="A26" s="24" t="str">
        <x:v>2025-09</x:v>
      </x:c>
      <x:c r="B26" s="24" t="n">
        <x:v>7354</x:v>
      </x:c>
      <x:c r="C26" s="24" t="n">
        <x:v>640</x:v>
      </x:c>
      <x:c r="D26" s="24" t="n">
        <x:v>640</x:v>
      </x:c>
      <x:c r="E26" s="24" t="n">
        <x:v>580</x:v>
      </x:c>
      <x:c r="F26" s="30" t="n">
        <x:v>92473.18</x:v>
      </x:c>
      <x:c r="G26" s="30" t="n">
        <x:v>5020.38</x:v>
      </x:c>
      <x:c r="H26" s="30" t="n">
        <x:v>9644.13</x:v>
      </x:c>
      <x:c r="I26" s="30" t="n">
        <x:v>78818.07</x:v>
      </x:c>
      <x:c r="J26" s="30" t="n">
        <x:v>21947.68</x:v>
      </x:c>
      <x:c r="K26" s="24" t="n">
        <x:v>489</x:v>
      </x:c>
      <x:c r="L26" s="24" t="n">
        <x:v>48</x:v>
      </x:c>
      <x:c r="M26" s="28" t="n">
        <x:v>0.087</x:v>
      </x:c>
      <x:c r="N26" s="30" t="n">
        <x:v>135.89</x:v>
      </x:c>
      <x:c r="O26" s="28" t="n">
        <x:v>0.2785</x:v>
      </x:c>
      <x:c r="P26" s="28" t="n">
        <x:v>0.075</x:v>
      </x:c>
      <x:c r="Q26" s="28" t="n">
        <x:f>IFERROR(I26/I25-1,0)</x:f>
        <x:v>0.014685623205638043</x:v>
      </x:c>
      <x:c r="R26" s="28" t="n">
        <x:f>IFERROR(E26/E25-1,0)</x:f>
        <x:v>0.07011070110701101</x:v>
      </x:c>
    </x:row>
    <x:row r="27">
      <x:c r="A27" s="24" t="str">
        <x:v>2025-10</x:v>
      </x:c>
      <x:c r="B27" s="24" t="n">
        <x:v>8918</x:v>
      </x:c>
      <x:c r="C27" s="24" t="n">
        <x:v>826</x:v>
      </x:c>
      <x:c r="D27" s="24" t="n">
        <x:v>826</x:v>
      </x:c>
      <x:c r="E27" s="24" t="n">
        <x:v>766</x:v>
      </x:c>
      <x:c r="F27" s="30" t="n">
        <x:v>125828.16</x:v>
      </x:c>
      <x:c r="G27" s="30" t="n">
        <x:v>7067.28</x:v>
      </x:c>
      <x:c r="H27" s="30" t="n">
        <x:v>9362.34</x:v>
      </x:c>
      <x:c r="I27" s="30" t="n">
        <x:v>110579.44</x:v>
      </x:c>
      <x:c r="J27" s="30" t="n">
        <x:v>30861.77</x:v>
      </x:c>
      <x:c r="K27" s="24" t="n">
        <x:v>659</x:v>
      </x:c>
      <x:c r="L27" s="24" t="n">
        <x:v>49</x:v>
      </x:c>
      <x:c r="M27" s="28" t="n">
        <x:v>0.0926</x:v>
      </x:c>
      <x:c r="N27" s="30" t="n">
        <x:v>144.36</x:v>
      </x:c>
      <x:c r="O27" s="28" t="n">
        <x:v>0.2791</x:v>
      </x:c>
      <x:c r="P27" s="28" t="n">
        <x:v>0.0593</x:v>
      </x:c>
      <x:c r="Q27" s="28" t="n">
        <x:f>IFERROR(I27/I26-1,0)</x:f>
        <x:v>0.40297066396068804</x:v>
      </x:c>
      <x:c r="R27" s="28" t="n">
        <x:f>IFERROR(E27/E26-1,0)</x:f>
        <x:v>0.3206896551724139</x:v>
      </x:c>
    </x:row>
    <x:row r="28">
      <x:c r="A28" s="24" t="str">
        <x:v>2025-11</x:v>
      </x:c>
      <x:c r="B28" s="24" t="n">
        <x:v>10353</x:v>
      </x:c>
      <x:c r="C28" s="24" t="n">
        <x:v>961</x:v>
      </x:c>
      <x:c r="D28" s="24" t="n">
        <x:v>961</x:v>
      </x:c>
      <x:c r="E28" s="24" t="n">
        <x:v>892</x:v>
      </x:c>
      <x:c r="F28" s="30" t="n">
        <x:v>139662.16</x:v>
      </x:c>
      <x:c r="G28" s="30" t="n">
        <x:v>7576.53</x:v>
      </x:c>
      <x:c r="H28" s="30" t="n">
        <x:v>10899.51</x:v>
      </x:c>
      <x:c r="I28" s="30" t="n">
        <x:v>122631.62</x:v>
      </x:c>
      <x:c r="J28" s="30" t="n">
        <x:v>34239.54</x:v>
      </x:c>
      <x:c r="K28" s="24" t="n">
        <x:v>778</x:v>
      </x:c>
      <x:c r="L28" s="24" t="n">
        <x:v>49</x:v>
      </x:c>
      <x:c r="M28" s="28" t="n">
        <x:v>0.0928</x:v>
      </x:c>
      <x:c r="N28" s="30" t="n">
        <x:v>137.48</x:v>
      </x:c>
      <x:c r="O28" s="28" t="n">
        <x:v>0.2792</x:v>
      </x:c>
      <x:c r="P28" s="28" t="n">
        <x:v>0.051</x:v>
      </x:c>
      <x:c r="Q28" s="28" t="n">
        <x:f>IFERROR(I28/I27-1,0)</x:f>
        <x:v>0.10899114699803136</x:v>
      </x:c>
      <x:c r="R28" s="28" t="n">
        <x:f>IFERROR(E28/E27-1,0)</x:f>
        <x:v>0.164490861618799</x:v>
      </x:c>
    </x:row>
    <x:row r="29">
      <x:c r="A29" s="25" t="str">
        <x:v>2025-12</x:v>
      </x:c>
      <x:c r="B29" s="25" t="n">
        <x:v>11852</x:v>
      </x:c>
      <x:c r="C29" s="25" t="n">
        <x:v>1098</x:v>
      </x:c>
      <x:c r="D29" s="25" t="n">
        <x:v>1098</x:v>
      </x:c>
      <x:c r="E29" s="25" t="n">
        <x:v>1013</x:v>
      </x:c>
      <x:c r="F29" s="33" t="n">
        <x:v>165408.42</x:v>
      </x:c>
      <x:c r="G29" s="33" t="n">
        <x:v>9324.57</x:v>
      </x:c>
      <x:c r="H29" s="33" t="n">
        <x:v>13535.81</x:v>
      </x:c>
      <x:c r="I29" s="33" t="n">
        <x:v>144179.74</x:v>
      </x:c>
      <x:c r="J29" s="33" t="n">
        <x:v>40642.01</x:v>
      </x:c>
      <x:c r="K29" s="25" t="n">
        <x:v>840</x:v>
      </x:c>
      <x:c r="L29" s="25" t="n">
        <x:v>63</x:v>
      </x:c>
      <x:c r="M29" s="31" t="n">
        <x:v>0.0926</x:v>
      </x:c>
      <x:c r="N29" s="33" t="n">
        <x:v>142.33</x:v>
      </x:c>
      <x:c r="O29" s="31" t="n">
        <x:v>0.2819</x:v>
      </x:c>
      <x:c r="P29" s="31" t="n">
        <x:v>0.0574</x:v>
      </x:c>
      <x:c r="Q29" s="31" t="n">
        <x:f>IFERROR(I29/I28-1,0)</x:f>
        <x:v>0.17571422443901485</x:v>
      </x:c>
      <x:c r="R29" s="31" t="n">
        <x:f>IFERROR(E29/E28-1,0)</x:f>
        <x:v>0.13565022421524664</x:v>
      </x:c>
    </x:row>
  </x:sheetData>
  <x:mergeCells>
    <x:mergeCell ref="A1:AC2"/>
    <x:mergeCell ref="A3:AC3"/>
  </x:mergeCells>
  <x:conditionalFormatting sqref="Q7:R29">
    <x:cfRule type="colorScale" priority="1">
      <x:colorScale>
        <x:cfvo type="min"/>
        <x:cfvo type="percentile" val="50"/>
        <x:cfvo type="max"/>
        <x:color rgb="FFFDE8E8"/>
        <x:color rgb="FFFFFFFF"/>
        <x:color rgb="FFD9F2EF"/>
      </x:colorScale>
    </x:cfRule>
  </x:conditionalFormatting>
  <x:pageMargins left="0.7" right="0.7" top="0.75" bottom="0.75" header="0.3" footer="0.3"/>
  <x:drawing xmlns:r="http://schemas.openxmlformats.org/officeDocument/2006/relationships" r:id="Rcbb19a792011425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6" customHeight="1">
      <x:c r="A1" s="3" t="str">
        <x:v>Channel Value &amp; Funnel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4" customHeight="1">
      <x:c r="A3" s="6" t="str">
        <x:v>Session-channel efficiency and acquisition-channel customer value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</x:row>
    <x:row r="5">
      <x:c r="A5" s="15" t="str">
        <x:v>Channel</x:v>
      </x:c>
      <x:c r="B5" s="16" t="str">
        <x:v>Sessions</x:v>
      </x:c>
      <x:c r="C5" s="16" t="str">
        <x:v>Product Views</x:v>
      </x:c>
      <x:c r="D5" s="16" t="str">
        <x:v>Add to Carts</x:v>
      </x:c>
      <x:c r="E5" s="16" t="str">
        <x:v>Checkouts</x:v>
      </x:c>
      <x:c r="F5" s="16" t="str">
        <x:v>Conversions</x:v>
      </x:c>
      <x:c r="G5" s="16" t="str">
        <x:v>View Rate</x:v>
      </x:c>
      <x:c r="H5" s="16" t="str">
        <x:v>View→Cart</x:v>
      </x:c>
      <x:c r="I5" s="16" t="str">
        <x:v>Cart→Checkout</x:v>
      </x:c>
      <x:c r="J5" s="16" t="str">
        <x:v>Checkout→Order</x:v>
      </x:c>
      <x:c r="K5" s="17" t="str">
        <x:v>Overall Conversion</x:v>
      </x:c>
      <x:c r="M5" s="15" t="str">
        <x:v>Acquisition Channel</x:v>
      </x:c>
      <x:c r="N5" s="16" t="str">
        <x:v>Matured Customers</x:v>
      </x:c>
      <x:c r="O5" s="16" t="str">
        <x:v>90d Purchasers</x:v>
      </x:c>
      <x:c r="P5" s="16" t="str">
        <x:v>90d Revenue</x:v>
      </x:c>
      <x:c r="Q5" s="16" t="str">
        <x:v>Revenue / Acquired</x:v>
      </x:c>
      <x:c r="R5" s="16" t="str">
        <x:v>Revenue / Purchaser</x:v>
      </x:c>
      <x:c r="S5" s="16" t="str">
        <x:v>Purchaser Rate</x:v>
      </x:c>
      <x:c r="T5" s="17" t="str">
        <x:v>Value Index</x:v>
      </x:c>
    </x:row>
    <x:row r="6">
      <x:c r="A6" s="23" t="str">
        <x:v>Email</x:v>
      </x:c>
      <x:c r="B6" s="23" t="n">
        <x:v>11490</x:v>
      </x:c>
      <x:c r="C6" s="23" t="n">
        <x:v>8389</x:v>
      </x:c>
      <x:c r="D6" s="23" t="n">
        <x:v>3053</x:v>
      </x:c>
      <x:c r="E6" s="23" t="n">
        <x:v>2026</x:v>
      </x:c>
      <x:c r="F6" s="23" t="n">
        <x:v>1608</x:v>
      </x:c>
      <x:c r="G6" s="34" t="n">
        <x:f>IFERROR(C6/B6,0)</x:f>
        <x:v>0.7301131418624891</x:v>
      </x:c>
      <x:c r="H6" s="34" t="n">
        <x:f>IFERROR(D6/C6,0)</x:f>
        <x:v>0.363928954583383</x:v>
      </x:c>
      <x:c r="I6" s="34" t="n">
        <x:f>IFERROR(E6/D6,0)</x:f>
        <x:v>0.6636095643629217</x:v>
      </x:c>
      <x:c r="J6" s="34" t="n">
        <x:f>IFERROR(F6/E6,0)</x:f>
        <x:v>0.7936821322803553</x:v>
      </x:c>
      <x:c r="K6" s="34" t="n">
        <x:f>IFERROR(F6/B6,0)</x:f>
        <x:v>0.13994778067885116</x:v>
      </x:c>
      <x:c r="M6" s="23" t="str">
        <x:v>Affiliate</x:v>
      </x:c>
      <x:c r="N6" s="23" t="n">
        <x:v>892</x:v>
      </x:c>
      <x:c r="O6" s="23" t="n">
        <x:v>241</x:v>
      </x:c>
      <x:c r="P6" s="32" t="n">
        <x:v>59818.16</x:v>
      </x:c>
      <x:c r="Q6" s="32" t="n">
        <x:v>67.06</x:v>
      </x:c>
      <x:c r="R6" s="32" t="n">
        <x:v>248.21</x:v>
      </x:c>
      <x:c r="S6" s="34" t="n">
        <x:v>0.2702</x:v>
      </x:c>
      <x:c r="T6" s="34" t="n">
        <x:f>IFERROR(Q6/AVERAGE($Q$6:$Q$11)-1,0)</x:f>
        <x:v>0.9604365620736701</x:v>
      </x:c>
    </x:row>
    <x:row r="7">
      <x:c r="A7" s="24" t="str">
        <x:v>Affiliate</x:v>
      </x:c>
      <x:c r="B7" s="24" t="n">
        <x:v>10059</x:v>
      </x:c>
      <x:c r="C7" s="24" t="n">
        <x:v>7217</x:v>
      </x:c>
      <x:c r="D7" s="24" t="n">
        <x:v>2414</x:v>
      </x:c>
      <x:c r="E7" s="24" t="n">
        <x:v>1559</x:v>
      </x:c>
      <x:c r="F7" s="24" t="n">
        <x:v>1221</x:v>
      </x:c>
      <x:c r="G7" s="28" t="n">
        <x:f>IFERROR(C7/B7,0)</x:f>
        <x:v>0.7174669450243563</x:v>
      </x:c>
      <x:c r="H7" s="28" t="n">
        <x:f>IFERROR(D7/C7,0)</x:f>
        <x:v>0.33448801441041986</x:v>
      </x:c>
      <x:c r="I7" s="28" t="n">
        <x:f>IFERROR(E7/D7,0)</x:f>
        <x:v>0.6458160729080364</x:v>
      </x:c>
      <x:c r="J7" s="28" t="n">
        <x:f>IFERROR(F7/E7,0)</x:f>
        <x:v>0.7831943553559975</x:v>
      </x:c>
      <x:c r="K7" s="28" t="n">
        <x:f>IFERROR(F7/B7,0)</x:f>
        <x:v>0.12138383537130927</x:v>
      </x:c>
      <x:c r="M7" s="24" t="str">
        <x:v>Email</x:v>
      </x:c>
      <x:c r="N7" s="24" t="n">
        <x:v>1002</x:v>
      </x:c>
      <x:c r="O7" s="24" t="n">
        <x:v>241</x:v>
      </x:c>
      <x:c r="P7" s="30" t="n">
        <x:v>44131.63</x:v>
      </x:c>
      <x:c r="Q7" s="30" t="n">
        <x:v>44.04</x:v>
      </x:c>
      <x:c r="R7" s="30" t="n">
        <x:v>183.12</x:v>
      </x:c>
      <x:c r="S7" s="28" t="n">
        <x:v>0.2405</x:v>
      </x:c>
      <x:c r="T7" s="28" t="n">
        <x:f>IFERROR(Q7/AVERAGE($Q$6:$Q$11)-1,0)</x:f>
        <x:v>0.2874683297602807</x:v>
      </x:c>
    </x:row>
    <x:row r="8">
      <x:c r="A8" s="24" t="str">
        <x:v>Direct</x:v>
      </x:c>
      <x:c r="B8" s="24" t="n">
        <x:v>13621</x:v>
      </x:c>
      <x:c r="C8" s="24" t="n">
        <x:v>9770</x:v>
      </x:c>
      <x:c r="D8" s="24" t="n">
        <x:v>3018</x:v>
      </x:c>
      <x:c r="E8" s="24" t="n">
        <x:v>1906</x:v>
      </x:c>
      <x:c r="F8" s="24" t="n">
        <x:v>1465</x:v>
      </x:c>
      <x:c r="G8" s="28" t="n">
        <x:f>IFERROR(C8/B8,0)</x:f>
        <x:v>0.7172747962704648</x:v>
      </x:c>
      <x:c r="H8" s="28" t="n">
        <x:f>IFERROR(D8/C8,0)</x:f>
        <x:v>0.3089048106448311</x:v>
      </x:c>
      <x:c r="I8" s="28" t="n">
        <x:f>IFERROR(E8/D8,0)</x:f>
        <x:v>0.6315440689198144</x:v>
      </x:c>
      <x:c r="J8" s="28" t="n">
        <x:f>IFERROR(F8/E8,0)</x:f>
        <x:v>0.7686253934942288</x:v>
      </x:c>
      <x:c r="K8" s="28" t="n">
        <x:f>IFERROR(F8/B8,0)</x:f>
        <x:v>0.10755451141619558</x:v>
      </x:c>
      <x:c r="M8" s="24" t="str">
        <x:v>Direct</x:v>
      </x:c>
      <x:c r="N8" s="24" t="n">
        <x:v>1288</x:v>
      </x:c>
      <x:c r="O8" s="24" t="n">
        <x:v>217</x:v>
      </x:c>
      <x:c r="P8" s="30" t="n">
        <x:v>32387.93</x:v>
      </x:c>
      <x:c r="Q8" s="30" t="n">
        <x:v>25.15</x:v>
      </x:c>
      <x:c r="R8" s="30" t="n">
        <x:v>149.25</x:v>
      </x:c>
      <x:c r="S8" s="28" t="n">
        <x:v>0.1685</x:v>
      </x:c>
      <x:c r="T8" s="28" t="n">
        <x:f>IFERROR(Q8/AVERAGE($Q$6:$Q$11)-1,0)</x:f>
        <x:v>-0.2647632040537906</x:v>
      </x:c>
    </x:row>
    <x:row r="9">
      <x:c r="A9" s="24" t="str">
        <x:v>Organic Search</x:v>
      </x:c>
      <x:c r="B9" s="24" t="n">
        <x:v>26442</x:v>
      </x:c>
      <x:c r="C9" s="24" t="n">
        <x:v>18330</x:v>
      </x:c>
      <x:c r="D9" s="24" t="n">
        <x:v>4711</x:v>
      </x:c>
      <x:c r="E9" s="24" t="n">
        <x:v>2789</x:v>
      </x:c>
      <x:c r="F9" s="24" t="n">
        <x:v>2008</x:v>
      </x:c>
      <x:c r="G9" s="28" t="n">
        <x:f>IFERROR(C9/B9,0)</x:f>
        <x:v>0.6932153392330384</x:v>
      </x:c>
      <x:c r="H9" s="28" t="n">
        <x:f>IFERROR(D9/C9,0)</x:f>
        <x:v>0.2570103655210038</x:v>
      </x:c>
      <x:c r="I9" s="28" t="n">
        <x:f>IFERROR(E9/D9,0)</x:f>
        <x:v>0.5920186796858417</x:v>
      </x:c>
      <x:c r="J9" s="28" t="n">
        <x:f>IFERROR(F9/E9,0)</x:f>
        <x:v>0.7199713158838293</x:v>
      </x:c>
      <x:c r="K9" s="28" t="n">
        <x:f>IFERROR(F9/B9,0)</x:f>
        <x:v>0.07593979275395205</x:v>
      </x:c>
      <x:c r="M9" s="24" t="str">
        <x:v>Paid Search</x:v>
      </x:c>
      <x:c r="N9" s="24" t="n">
        <x:v>2068</x:v>
      </x:c>
      <x:c r="O9" s="24" t="n">
        <x:v>320</x:v>
      </x:c>
      <x:c r="P9" s="30" t="n">
        <x:v>50757.95</x:v>
      </x:c>
      <x:c r="Q9" s="30" t="n">
        <x:v>24.54</x:v>
      </x:c>
      <x:c r="R9" s="30" t="n">
        <x:v>158.62</x:v>
      </x:c>
      <x:c r="S9" s="28" t="n">
        <x:v>0.1547</x:v>
      </x:c>
      <x:c r="T9" s="28" t="n">
        <x:f>IFERROR(Q9/AVERAGE($Q$6:$Q$11)-1,0)</x:f>
        <x:v>-0.2825959851880725</x:v>
      </x:c>
    </x:row>
    <x:row r="10">
      <x:c r="A10" s="24" t="str">
        <x:v>Paid Search</x:v>
      </x:c>
      <x:c r="B10" s="24" t="n">
        <x:v>22717</x:v>
      </x:c>
      <x:c r="C10" s="24" t="n">
        <x:v>15751</x:v>
      </x:c>
      <x:c r="D10" s="24" t="n">
        <x:v>3835</x:v>
      </x:c>
      <x:c r="E10" s="24" t="n">
        <x:v>2217</x:v>
      </x:c>
      <x:c r="F10" s="24" t="n">
        <x:v>1606</x:v>
      </x:c>
      <x:c r="G10" s="28" t="n">
        <x:f>IFERROR(C10/B10,0)</x:f>
        <x:v>0.6933573975436897</x:v>
      </x:c>
      <x:c r="H10" s="28" t="n">
        <x:f>IFERROR(D10/C10,0)</x:f>
        <x:v>0.24347660466002158</x:v>
      </x:c>
      <x:c r="I10" s="28" t="n">
        <x:f>IFERROR(E10/D10,0)</x:f>
        <x:v>0.578096479791395</x:v>
      </x:c>
      <x:c r="J10" s="28" t="n">
        <x:f>IFERROR(F10/E10,0)</x:f>
        <x:v>0.724402345511953</x:v>
      </x:c>
      <x:c r="K10" s="28" t="n">
        <x:f>IFERROR(F10/B10,0)</x:f>
        <x:v>0.0706959545714663</x:v>
      </x:c>
      <x:c r="M10" s="24" t="str">
        <x:v>Organic Search</x:v>
      </x:c>
      <x:c r="N10" s="24" t="n">
        <x:v>2453</x:v>
      </x:c>
      <x:c r="O10" s="24" t="n">
        <x:v>376</x:v>
      </x:c>
      <x:c r="P10" s="30" t="n">
        <x:v>56336.21</x:v>
      </x:c>
      <x:c r="Q10" s="30" t="n">
        <x:v>22.97</x:v>
      </x:c>
      <x:c r="R10" s="30" t="n">
        <x:v>149.83</x:v>
      </x:c>
      <x:c r="S10" s="28" t="n">
        <x:v>0.1533</x:v>
      </x:c>
      <x:c r="T10" s="28" t="n">
        <x:f>IFERROR(Q10/AVERAGE($Q$6:$Q$11)-1,0)</x:f>
        <x:v>-0.3284934710582732</x:v>
      </x:c>
    </x:row>
    <x:row r="11">
      <x:c r="A11" s="25" t="str">
        <x:v>Social</x:v>
      </x:c>
      <x:c r="B11" s="25" t="n">
        <x:v>15671</x:v>
      </x:c>
      <x:c r="C11" s="25" t="n">
        <x:v>10808</x:v>
      </x:c>
      <x:c r="D11" s="25" t="n">
        <x:v>2272</x:v>
      </x:c>
      <x:c r="E11" s="25" t="n">
        <x:v>1297</x:v>
      </x:c>
      <x:c r="F11" s="25" t="n">
        <x:v>908</x:v>
      </x:c>
      <x:c r="G11" s="31" t="n">
        <x:f>IFERROR(C11/B11,0)</x:f>
        <x:v>0.6896815774360283</x:v>
      </x:c>
      <x:c r="H11" s="31" t="n">
        <x:f>IFERROR(D11/C11,0)</x:f>
        <x:v>0.21021465581051074</x:v>
      </x:c>
      <x:c r="I11" s="31" t="n">
        <x:f>IFERROR(E11/D11,0)</x:f>
        <x:v>0.570862676056338</x:v>
      </x:c>
      <x:c r="J11" s="31" t="n">
        <x:f>IFERROR(F11/E11,0)</x:f>
        <x:v>0.700077101002313</x:v>
      </x:c>
      <x:c r="K11" s="31" t="n">
        <x:f>IFERROR(F11/B11,0)</x:f>
        <x:v>0.05794142045817115</x:v>
      </x:c>
      <x:c r="M11" s="25" t="str">
        <x:v>Social</x:v>
      </x:c>
      <x:c r="N11" s="25" t="n">
        <x:v>1435</x:v>
      </x:c>
      <x:c r="O11" s="25" t="n">
        <x:v>199</x:v>
      </x:c>
      <x:c r="P11" s="33" t="n">
        <x:v>30823.39</x:v>
      </x:c>
      <x:c r="Q11" s="33" t="n">
        <x:v>21.48</x:v>
      </x:c>
      <x:c r="R11" s="33" t="n">
        <x:v>154.89</x:v>
      </x:c>
      <x:c r="S11" s="31" t="n">
        <x:v>0.1387</x:v>
      </x:c>
      <x:c r="T11" s="31" t="n">
        <x:f>IFERROR(Q11/AVERAGE($Q$6:$Q$11)-1,0)</x:f>
        <x:v>-0.37205223153381395</x:v>
      </x:c>
    </x:row>
    <x:row r="15">
      <x:c r="A15" s="15" t="str">
        <x:v>Overall Funnel Stage</x:v>
      </x:c>
      <x:c r="B15" s="17" t="str">
        <x:v>Count</x:v>
      </x:c>
    </x:row>
    <x:row r="16">
      <x:c r="A16" s="23" t="str">
        <x:v>Sessions</x:v>
      </x:c>
      <x:c r="B16" s="23" t="n">
        <x:f>SUM(B6:B11)</x:f>
        <x:v>100000</x:v>
      </x:c>
    </x:row>
    <x:row r="17">
      <x:c r="A17" s="24" t="str">
        <x:v>Product Views</x:v>
      </x:c>
      <x:c r="B17" s="24" t="n">
        <x:f>SUM(C6:C11)</x:f>
        <x:v>70265</x:v>
      </x:c>
    </x:row>
    <x:row r="18">
      <x:c r="A18" s="24" t="str">
        <x:v>Add to Carts</x:v>
      </x:c>
      <x:c r="B18" s="24" t="n">
        <x:f>SUM(D6:D11)</x:f>
        <x:v>19303</x:v>
      </x:c>
    </x:row>
    <x:row r="19">
      <x:c r="A19" s="24" t="str">
        <x:v>Checkouts</x:v>
      </x:c>
      <x:c r="B19" s="24" t="n">
        <x:f>SUM(E6:E11)</x:f>
        <x:v>11794</x:v>
      </x:c>
    </x:row>
    <x:row r="20">
      <x:c r="A20" s="25" t="str">
        <x:v>Orders</x:v>
      </x:c>
      <x:c r="B20" s="25" t="n">
        <x:f>SUM(F6:F11)</x:f>
        <x:v>8816</x:v>
      </x:c>
    </x:row>
  </x:sheetData>
  <x:mergeCells>
    <x:mergeCell ref="A1:T2"/>
    <x:mergeCell ref="A3:T3"/>
  </x:mergeCells>
  <x:pageMargins left="0.7" right="0.7" top="0.75" bottom="0.75" header="0.3" footer="0.3"/>
  <x:drawing xmlns:r="http://schemas.openxmlformats.org/officeDocument/2006/relationships" r:id="R908c449dc60348b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</x:cols>
  <x:sheetData>
    <x:row r="1" ht="26" customHeight="1">
      <x:c r="A1" s="3" t="str">
        <x:v>Customer Segmentation &amp; Retention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6" t="str">
        <x:v>RFM segments and cohort retention sourced from SQL window functions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5">
      <x:c r="A5" s="15" t="str">
        <x:v>RFM Segment</x:v>
      </x:c>
      <x:c r="B5" s="16" t="str">
        <x:v>Customers</x:v>
      </x:c>
      <x:c r="C5" s="16" t="str">
        <x:v>Net Revenue</x:v>
      </x:c>
      <x:c r="D5" s="16" t="str">
        <x:v>Avg Customer Value</x:v>
      </x:c>
      <x:c r="E5" s="16" t="str">
        <x:v>Avg Recency Days</x:v>
      </x:c>
      <x:c r="F5" s="16" t="str">
        <x:v>90d Churn Rate</x:v>
      </x:c>
      <x:c r="G5" s="16" t="str">
        <x:v>Churned Customers</x:v>
      </x:c>
      <x:c r="H5" s="17" t="str">
        <x:v>Chart Label</x:v>
      </x:c>
    </x:row>
    <x:row r="6">
      <x:c r="A6" s="23" t="str">
        <x:v>Champions</x:v>
      </x:c>
      <x:c r="B6" s="23" t="n">
        <x:v>904</x:v>
      </x:c>
      <x:c r="C6" s="32" t="n">
        <x:v>335249.86</x:v>
      </x:c>
      <x:c r="D6" s="32" t="n">
        <x:v>370.8516</x:v>
      </x:c>
      <x:c r="E6" s="35" t="n">
        <x:v>34.4082</x:v>
      </x:c>
      <x:c r="F6" s="34" t="n">
        <x:v>0</x:v>
      </x:c>
      <x:c r="G6" s="38" t="n">
        <x:f>B6*F6</x:f>
        <x:v>0</x:v>
      </x:c>
      <x:c r="H6" s="23" t="str">
        <x:v>Champions</x:v>
      </x:c>
    </x:row>
    <x:row r="7">
      <x:c r="A7" s="24" t="str">
        <x:v>At Risk</x:v>
      </x:c>
      <x:c r="B7" s="24" t="n">
        <x:v>982</x:v>
      </x:c>
      <x:c r="C7" s="30" t="n">
        <x:v>282189.18</x:v>
      </x:c>
      <x:c r="D7" s="30" t="n">
        <x:v>287.3617</x:v>
      </x:c>
      <x:c r="E7" s="36" t="n">
        <x:v>304.1365</x:v>
      </x:c>
      <x:c r="F7" s="28" t="n">
        <x:v>1</x:v>
      </x:c>
      <x:c r="G7" s="29" t="n">
        <x:f>B7*F7</x:f>
        <x:v>982</x:v>
      </x:c>
      <x:c r="H7" s="24" t="str">
        <x:v>At Risk</x:v>
      </x:c>
    </x:row>
    <x:row r="8">
      <x:c r="A8" s="24" t="str">
        <x:v>Loyal Customers</x:v>
      </x:c>
      <x:c r="B8" s="24" t="n">
        <x:v>369</x:v>
      </x:c>
      <x:c r="C8" s="30" t="n">
        <x:v>129668.86</x:v>
      </x:c>
      <x:c r="D8" s="30" t="n">
        <x:v>351.4061</x:v>
      </x:c>
      <x:c r="E8" s="36" t="n">
        <x:v>116.5257</x:v>
      </x:c>
      <x:c r="F8" s="28" t="n">
        <x:v>0.8564</x:v>
      </x:c>
      <x:c r="G8" s="29" t="n">
        <x:f>B8*F8</x:f>
        <x:v>316.01160000000004</x:v>
      </x:c>
      <x:c r="H8" s="24" t="str">
        <x:v>Loyal</x:v>
      </x:c>
    </x:row>
    <x:row r="9">
      <x:c r="A9" s="24" t="str">
        <x:v>Potential Loyalists</x:v>
      </x:c>
      <x:c r="B9" s="24" t="n">
        <x:v>626</x:v>
      </x:c>
      <x:c r="C9" s="30" t="n">
        <x:v>91382.1</x:v>
      </x:c>
      <x:c r="D9" s="30" t="n">
        <x:v>145.9778</x:v>
      </x:c>
      <x:c r="E9" s="36" t="n">
        <x:v>38.9936</x:v>
      </x:c>
      <x:c r="F9" s="28" t="n">
        <x:v>0</x:v>
      </x:c>
      <x:c r="G9" s="29" t="n">
        <x:f>B9*F9</x:f>
        <x:v>0</x:v>
      </x:c>
      <x:c r="H9" s="24" t="str">
        <x:v>Potential</x:v>
      </x:c>
    </x:row>
    <x:row r="10">
      <x:c r="A10" s="24" t="str">
        <x:v>Need Attention</x:v>
      </x:c>
      <x:c r="B10" s="24" t="n">
        <x:v>709</x:v>
      </x:c>
      <x:c r="C10" s="30" t="n">
        <x:v>67484.12</x:v>
      </x:c>
      <x:c r="D10" s="30" t="n">
        <x:v>95.1821</x:v>
      </x:c>
      <x:c r="E10" s="36" t="n">
        <x:v>104.9154</x:v>
      </x:c>
      <x:c r="F10" s="28" t="n">
        <x:v>0.6587</x:v>
      </x:c>
      <x:c r="G10" s="29" t="n">
        <x:f>B10*F10</x:f>
        <x:v>467.01829999999995</x:v>
      </x:c>
      <x:c r="H10" s="24" t="str">
        <x:v>Attention</x:v>
      </x:c>
    </x:row>
    <x:row r="11">
      <x:c r="A11" s="24" t="str">
        <x:v>Hibernating</x:v>
      </x:c>
      <x:c r="B11" s="24" t="n">
        <x:v>846</x:v>
      </x:c>
      <x:c r="C11" s="30" t="n">
        <x:v>54168.34</x:v>
      </x:c>
      <x:c r="D11" s="30" t="n">
        <x:v>64.0288</x:v>
      </x:c>
      <x:c r="E11" s="36" t="n">
        <x:v>326.8889</x:v>
      </x:c>
      <x:c r="F11" s="28" t="n">
        <x:v>1</x:v>
      </x:c>
      <x:c r="G11" s="29" t="n">
        <x:f>B11*F11</x:f>
        <x:v>846</x:v>
      </x:c>
      <x:c r="H11" s="24" t="str">
        <x:v>Hibernating</x:v>
      </x:c>
    </x:row>
    <x:row r="12">
      <x:c r="A12" s="25" t="str">
        <x:v>New Customers</x:v>
      </x:c>
      <x:c r="B12" s="25" t="n">
        <x:v>137</x:v>
      </x:c>
      <x:c r="C12" s="33" t="n">
        <x:v>4867.82</x:v>
      </x:c>
      <x:c r="D12" s="33" t="n">
        <x:v>35.5315</x:v>
      </x:c>
      <x:c r="E12" s="37" t="n">
        <x:v>17.6788</x:v>
      </x:c>
      <x:c r="F12" s="31" t="n">
        <x:v>0</x:v>
      </x:c>
      <x:c r="G12" s="39" t="n">
        <x:f>B12*F12</x:f>
        <x:v>0</x:v>
      </x:c>
      <x:c r="H12" s="25" t="str">
        <x:v>New</x:v>
      </x:c>
    </x:row>
    <x:row r="16">
      <x:c r="A16" s="15" t="str">
        <x:v>Cohort Month</x:v>
      </x:c>
      <x:c r="B16" s="16" t="str">
        <x:v>Month 0</x:v>
      </x:c>
      <x:c r="C16" s="16" t="str">
        <x:v>Month 1</x:v>
      </x:c>
      <x:c r="D16" s="16" t="str">
        <x:v>Month 2</x:v>
      </x:c>
      <x:c r="E16" s="17" t="str">
        <x:v>Month 3</x:v>
      </x:c>
    </x:row>
    <x:row r="17">
      <x:c r="A17" s="23" t="str">
        <x:v>2025-01</x:v>
      </x:c>
      <x:c r="B17" s="34" t="n">
        <x:v>1</x:v>
      </x:c>
      <x:c r="C17" s="34" t="n">
        <x:v>0.0278</x:v>
      </x:c>
      <x:c r="D17" s="34" t="n">
        <x:v>0.0667</x:v>
      </x:c>
      <x:c r="E17" s="34" t="n">
        <x:v>0.0722</x:v>
      </x:c>
    </x:row>
    <x:row r="18">
      <x:c r="A18" s="24" t="str">
        <x:v>2025-02</x:v>
      </x:c>
      <x:c r="B18" s="28" t="n">
        <x:v>1</x:v>
      </x:c>
      <x:c r="C18" s="28" t="n">
        <x:v>0.0879</x:v>
      </x:c>
      <x:c r="D18" s="28" t="n">
        <x:v>0.0659</x:v>
      </x:c>
      <x:c r="E18" s="28" t="n">
        <x:v>0.0549</x:v>
      </x:c>
    </x:row>
    <x:row r="19">
      <x:c r="A19" s="24" t="str">
        <x:v>2025-03</x:v>
      </x:c>
      <x:c r="B19" s="28" t="n">
        <x:v>1</x:v>
      </x:c>
      <x:c r="C19" s="28" t="n">
        <x:v>0.05</x:v>
      </x:c>
      <x:c r="D19" s="28" t="n">
        <x:v>0.04</x:v>
      </x:c>
      <x:c r="E19" s="28" t="n">
        <x:v>0.055</x:v>
      </x:c>
    </x:row>
    <x:row r="20">
      <x:c r="A20" s="24" t="str">
        <x:v>2025-04</x:v>
      </x:c>
      <x:c r="B20" s="28" t="n">
        <x:v>1</x:v>
      </x:c>
      <x:c r="C20" s="28" t="n">
        <x:v>0.0288</x:v>
      </x:c>
      <x:c r="D20" s="28" t="n">
        <x:v>0.0577</x:v>
      </x:c>
      <x:c r="E20" s="28" t="n">
        <x:v>0.0625</x:v>
      </x:c>
    </x:row>
    <x:row r="21">
      <x:c r="A21" s="24" t="str">
        <x:v>2025-05</x:v>
      </x:c>
      <x:c r="B21" s="28" t="n">
        <x:v>1</x:v>
      </x:c>
      <x:c r="C21" s="28" t="n">
        <x:v>0.0596</x:v>
      </x:c>
      <x:c r="D21" s="28" t="n">
        <x:v>0.0894</x:v>
      </x:c>
      <x:c r="E21" s="28" t="n">
        <x:v>0.0511</x:v>
      </x:c>
    </x:row>
    <x:row r="22">
      <x:c r="A22" s="24" t="str">
        <x:v>2025-06</x:v>
      </x:c>
      <x:c r="B22" s="28" t="n">
        <x:v>1</x:v>
      </x:c>
      <x:c r="C22" s="28" t="n">
        <x:v>0.056</x:v>
      </x:c>
      <x:c r="D22" s="28" t="n">
        <x:v>0.0709</x:v>
      </x:c>
      <x:c r="E22" s="28" t="n">
        <x:v>0.0373</x:v>
      </x:c>
    </x:row>
    <x:row r="23">
      <x:c r="A23" s="24" t="str">
        <x:v>2025-07</x:v>
      </x:c>
      <x:c r="B23" s="28" t="n">
        <x:v>1</x:v>
      </x:c>
      <x:c r="C23" s="28" t="n">
        <x:v>0.0927</x:v>
      </x:c>
      <x:c r="D23" s="28" t="n">
        <x:v>0.0703</x:v>
      </x:c>
      <x:c r="E23" s="28" t="n">
        <x:v>0.1086</x:v>
      </x:c>
    </x:row>
    <x:row r="24">
      <x:c r="A24" s="24" t="str">
        <x:v>2025-08</x:v>
      </x:c>
      <x:c r="B24" s="28" t="n">
        <x:v>1</x:v>
      </x:c>
      <x:c r="C24" s="28" t="n">
        <x:v>0.0728</x:v>
      </x:c>
      <x:c r="D24" s="28" t="n">
        <x:v>0.1139</x:v>
      </x:c>
      <x:c r="E24" s="28" t="n">
        <x:v>0.0665</x:v>
      </x:c>
    </x:row>
    <x:row r="25">
      <x:c r="A25" s="24" t="str">
        <x:v>2025-09</x:v>
      </x:c>
      <x:c r="B25" s="28" t="n">
        <x:v>1</x:v>
      </x:c>
      <x:c r="C25" s="28" t="n">
        <x:v>0.1101</x:v>
      </x:c>
      <x:c r="D25" s="28" t="n">
        <x:v>0.0957</x:v>
      </x:c>
      <x:c r="E25" s="28" t="n">
        <x:v>0.0899</x:v>
      </x:c>
    </x:row>
    <x:row r="26">
      <x:c r="A26" s="24" t="str">
        <x:v>2025-10</x:v>
      </x:c>
      <x:c r="B26" s="28" t="n">
        <x:v>1</x:v>
      </x:c>
      <x:c r="C26" s="28" t="n">
        <x:v>0.1497</x:v>
      </x:c>
      <x:c r="D26" s="28" t="n">
        <x:v>0.1451</x:v>
      </x:c>
      <x:c r="E26" s="28"/>
    </x:row>
    <x:row r="27">
      <x:c r="A27" s="24" t="str">
        <x:v>2025-11</x:v>
      </x:c>
      <x:c r="B27" s="28" t="n">
        <x:v>1</x:v>
      </x:c>
      <x:c r="C27" s="28" t="n">
        <x:v>0.1901</x:v>
      </x:c>
      <x:c r="D27" s="28"/>
      <x:c r="E27" s="28"/>
    </x:row>
    <x:row r="28">
      <x:c r="A28" s="25" t="str">
        <x:v>2025-12</x:v>
      </x:c>
      <x:c r="B28" s="31" t="n">
        <x:v>1</x:v>
      </x:c>
      <x:c r="C28" s="31"/>
      <x:c r="D28" s="31"/>
      <x:c r="E28" s="31"/>
    </x:row>
  </x:sheetData>
  <x:mergeCells>
    <x:mergeCell ref="A1:P2"/>
    <x:mergeCell ref="A3:P3"/>
  </x:mergeCells>
  <x:conditionalFormatting sqref="F6:F12">
    <x:cfRule type="colorScale" priority="1">
      <x:colorScale>
        <x:cfvo type="min"/>
        <x:cfvo type="percentile" val="50"/>
        <x:cfvo type="max"/>
        <x:color rgb="FFD9F2EF"/>
        <x:color rgb="FFFFF3D6"/>
        <x:color rgb="FFFDE8E8"/>
      </x:colorScale>
    </x:cfRule>
  </x:conditionalFormatting>
  <x:conditionalFormatting sqref="B17:E28">
    <x:cfRule type="colorScale" priority="2">
      <x:colorScale>
        <x:cfvo type="min"/>
        <x:cfvo type="percentile" val="50"/>
        <x:cfvo type="max"/>
        <x:color rgb="FFFFFFFF"/>
        <x:color rgb="FFD9F2EF"/>
        <x:color rgb="FF0F766E"/>
      </x:colorScale>
    </x:cfRule>
  </x:conditionalFormatting>
  <x:pageMargins left="0.7" right="0.7" top="0.75" bottom="0.75" header="0.3" footer="0.3"/>
  <x:drawing xmlns:r="http://schemas.openxmlformats.org/officeDocument/2006/relationships" r:id="R816c02aa11124d7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6" customHeight="1">
      <x:c r="A1" s="3" t="str">
        <x:v>Product &amp; Regional Performance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4" customHeight="1">
      <x:c r="A3" s="6" t="str">
        <x:v>Category economics, top products, and regional monetization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5">
      <x:c r="A5" s="15" t="str">
        <x:v>Category</x:v>
      </x:c>
      <x:c r="B5" s="16" t="str">
        <x:v>Units Sold</x:v>
      </x:c>
      <x:c r="C5" s="16" t="str">
        <x:v>Orders</x:v>
      </x:c>
      <x:c r="D5" s="16" t="str">
        <x:v>Net Revenue</x:v>
      </x:c>
      <x:c r="E5" s="16" t="str">
        <x:v>Gross Profit</x:v>
      </x:c>
      <x:c r="F5" s="16" t="str">
        <x:v>Return Rate</x:v>
      </x:c>
      <x:c r="G5" s="17" t="str">
        <x:v>Gross Margin %</x:v>
      </x:c>
      <x:c r="I5" s="15" t="str">
        <x:v>Region</x:v>
      </x:c>
      <x:c r="J5" s="16" t="str">
        <x:v>Orders</x:v>
      </x:c>
      <x:c r="K5" s="16" t="str">
        <x:v>Customers</x:v>
      </x:c>
      <x:c r="L5" s="16" t="str">
        <x:v>Net Revenue</x:v>
      </x:c>
      <x:c r="M5" s="16" t="str">
        <x:v>AOV</x:v>
      </x:c>
      <x:c r="N5" s="16" t="str">
        <x:v>Gross Margin %</x:v>
      </x:c>
      <x:c r="O5" s="17" t="str">
        <x:v>Return Rate</x:v>
      </x:c>
    </x:row>
    <x:row r="6">
      <x:c r="A6" s="23" t="str">
        <x:v>Electronics</x:v>
      </x:c>
      <x:c r="B6" s="23" t="n">
        <x:v>3999</x:v>
      </x:c>
      <x:c r="C6" s="23" t="n">
        <x:v>3322</x:v>
      </x:c>
      <x:c r="D6" s="32" t="n">
        <x:v>384886.55</x:v>
      </x:c>
      <x:c r="E6" s="32" t="n">
        <x:v>111421.36</x:v>
      </x:c>
      <x:c r="F6" s="34" t="n">
        <x:v>0.0525</x:v>
      </x:c>
      <x:c r="G6" s="34" t="n">
        <x:v>0.2895</x:v>
      </x:c>
      <x:c r="I6" s="23" t="str">
        <x:v>South</x:v>
      </x:c>
      <x:c r="J6" s="23" t="n">
        <x:v>2614</x:v>
      </x:c>
      <x:c r="K6" s="23" t="n">
        <x:v>1431</x:v>
      </x:c>
      <x:c r="L6" s="32" t="n">
        <x:v>339395.34</x:v>
      </x:c>
      <x:c r="M6" s="32" t="n">
        <x:v>139.78</x:v>
      </x:c>
      <x:c r="N6" s="34" t="n">
        <x:v>0.2829</x:v>
      </x:c>
      <x:c r="O6" s="34" t="n">
        <x:v>0.0559</x:v>
      </x:c>
    </x:row>
    <x:row r="7">
      <x:c r="A7" s="24" t="str">
        <x:v>Fashion</x:v>
      </x:c>
      <x:c r="B7" s="24" t="n">
        <x:v>3982</x:v>
      </x:c>
      <x:c r="C7" s="24" t="n">
        <x:v>3222</x:v>
      </x:c>
      <x:c r="D7" s="30" t="n">
        <x:v>215415.34</x:v>
      </x:c>
      <x:c r="E7" s="30" t="n">
        <x:v>75084.69</x:v>
      </x:c>
      <x:c r="F7" s="28" t="n">
        <x:v>0.0866</x:v>
      </x:c>
      <x:c r="G7" s="28" t="n">
        <x:v>0.3486</x:v>
      </x:c>
      <x:c r="I7" s="24" t="str">
        <x:v>West</x:v>
      </x:c>
      <x:c r="J7" s="24" t="n">
        <x:v>2401</x:v>
      </x:c>
      <x:c r="K7" s="24" t="n">
        <x:v>1339</x:v>
      </x:c>
      <x:c r="L7" s="30" t="n">
        <x:v>303975.87</x:v>
      </x:c>
      <x:c r="M7" s="30" t="n">
        <x:v>137.61</x:v>
      </x:c>
      <x:c r="N7" s="28" t="n">
        <x:v>0.2827</x:v>
      </x:c>
      <x:c r="O7" s="28" t="n">
        <x:v>0.0641</x:v>
      </x:c>
    </x:row>
    <x:row r="8">
      <x:c r="A8" s="24" t="str">
        <x:v>Sports &amp; Outdoors</x:v>
      </x:c>
      <x:c r="B8" s="24" t="n">
        <x:v>2157</x:v>
      </x:c>
      <x:c r="C8" s="24" t="n">
        <x:v>1775</x:v>
      </x:c>
      <x:c r="D8" s="30" t="n">
        <x:v>178427.5</x:v>
      </x:c>
      <x:c r="E8" s="30" t="n">
        <x:v>47945.5</x:v>
      </x:c>
      <x:c r="F8" s="28" t="n">
        <x:v>0.0641</x:v>
      </x:c>
      <x:c r="G8" s="28" t="n">
        <x:v>0.2687</x:v>
      </x:c>
      <x:c r="I8" s="24" t="str">
        <x:v>North</x:v>
      </x:c>
      <x:c r="J8" s="24" t="n">
        <x:v>1568</x:v>
      </x:c>
      <x:c r="K8" s="24" t="n">
        <x:v>858</x:v>
      </x:c>
      <x:c r="L8" s="30" t="n">
        <x:v>210673.34</x:v>
      </x:c>
      <x:c r="M8" s="30" t="n">
        <x:v>146.61</x:v>
      </x:c>
      <x:c r="N8" s="28" t="n">
        <x:v>0.2809</x:v>
      </x:c>
      <x:c r="O8" s="28" t="n">
        <x:v>0.0651</x:v>
      </x:c>
    </x:row>
    <x:row r="9">
      <x:c r="A9" s="24" t="str">
        <x:v>Home &amp; Living</x:v>
      </x:c>
      <x:c r="B9" s="24" t="n">
        <x:v>3515</x:v>
      </x:c>
      <x:c r="C9" s="24" t="n">
        <x:v>2923</x:v>
      </x:c>
      <x:c r="D9" s="30" t="n">
        <x:v>172594.56</x:v>
      </x:c>
      <x:c r="E9" s="30" t="n">
        <x:v>39888.52</x:v>
      </x:c>
      <x:c r="F9" s="28" t="n">
        <x:v>0.0625</x:v>
      </x:c>
      <x:c r="G9" s="28" t="n">
        <x:v>0.2311</x:v>
      </x:c>
      <x:c r="I9" s="24" t="str">
        <x:v>East</x:v>
      </x:c>
      <x:c r="J9" s="24" t="n">
        <x:v>1525</x:v>
      </x:c>
      <x:c r="K9" s="24" t="n">
        <x:v>819</x:v>
      </x:c>
      <x:c r="L9" s="30" t="n">
        <x:v>203086.35</x:v>
      </x:c>
      <x:c r="M9" s="30" t="n">
        <x:v>144.55</x:v>
      </x:c>
      <x:c r="N9" s="28" t="n">
        <x:v>0.282</x:v>
      </x:c>
      <x:c r="O9" s="28" t="n">
        <x:v>0.0557</x:v>
      </x:c>
    </x:row>
    <x:row r="10">
      <x:c r="A10" s="24" t="str">
        <x:v>Beauty &amp; Care</x:v>
      </x:c>
      <x:c r="B10" s="24" t="n">
        <x:v>2199</x:v>
      </x:c>
      <x:c r="C10" s="24" t="n">
        <x:v>1798</x:v>
      </x:c>
      <x:c r="D10" s="30" t="n">
        <x:v>80663.54</x:v>
      </x:c>
      <x:c r="E10" s="30" t="n">
        <x:v>15647.42</x:v>
      </x:c>
      <x:c r="F10" s="28" t="n">
        <x:v>0.0485</x:v>
      </x:c>
      <x:c r="G10" s="28" t="n">
        <x:v>0.194</x:v>
      </x:c>
      <x:c r="I10" s="25" t="str">
        <x:v>Central</x:v>
      </x:c>
      <x:c r="J10" s="25" t="n">
        <x:v>708</x:v>
      </x:c>
      <x:c r="K10" s="25" t="n">
        <x:v>391</x:v>
      </x:c>
      <x:c r="L10" s="33" t="n">
        <x:v>86412.41</x:v>
      </x:c>
      <x:c r="M10" s="33" t="n">
        <x:v>131.73</x:v>
      </x:c>
      <x:c r="N10" s="31" t="n">
        <x:v>0.2805</x:v>
      </x:c>
      <x:c r="O10" s="31" t="n">
        <x:v>0.0607</x:v>
      </x:c>
    </x:row>
    <x:row r="11">
      <x:c r="A11" s="24" t="str">
        <x:v>Books &amp; Stationery</x:v>
      </x:c>
      <x:c r="B11" s="24" t="n">
        <x:v>2128</x:v>
      </x:c>
      <x:c r="C11" s="24" t="n">
        <x:v>1758</x:v>
      </x:c>
      <x:c r="D11" s="30" t="n">
        <x:v>51909.02</x:v>
      </x:c>
      <x:c r="E11" s="30" t="n">
        <x:v>9286.19</x:v>
      </x:c>
      <x:c r="F11" s="28" t="n">
        <x:v>0.0566</x:v>
      </x:c>
      <x:c r="G11" s="28" t="n">
        <x:v>0.1789</x:v>
      </x:c>
    </x:row>
    <x:row r="12">
      <x:c r="A12" s="25" t="str">
        <x:v>Pet Supplies</x:v>
      </x:c>
      <x:c r="B12" s="25" t="n">
        <x:v>1614</x:v>
      </x:c>
      <x:c r="C12" s="25" t="n">
        <x:v>1343</x:v>
      </x:c>
      <x:c r="D12" s="33" t="n">
        <x:v>47029.25</x:v>
      </x:c>
      <x:c r="E12" s="33" t="n">
        <x:v>10734.96</x:v>
      </x:c>
      <x:c r="F12" s="31" t="n">
        <x:v>0.0573</x:v>
      </x:c>
      <x:c r="G12" s="31" t="n">
        <x:v>0.2283</x:v>
      </x:c>
    </x:row>
    <x:row r="16">
      <x:c r="A16" s="15" t="str">
        <x:v>Product</x:v>
      </x:c>
      <x:c r="B16" s="16" t="str">
        <x:v>Category</x:v>
      </x:c>
      <x:c r="C16" s="16" t="str">
        <x:v>Units</x:v>
      </x:c>
      <x:c r="D16" s="16" t="str">
        <x:v>Orders</x:v>
      </x:c>
      <x:c r="E16" s="16" t="str">
        <x:v>Net Revenue</x:v>
      </x:c>
      <x:c r="F16" s="16" t="str">
        <x:v>Gross Profit</x:v>
      </x:c>
      <x:c r="G16" s="16" t="str">
        <x:v>Margin %</x:v>
      </x:c>
      <x:c r="H16" s="17" t="str">
        <x:v>Return Rate</x:v>
      </x:c>
    </x:row>
    <x:row r="17">
      <x:c r="A17" s="23" t="str">
        <x:v>Urban Audio Edge</x:v>
      </x:c>
      <x:c r="B17" s="23" t="str">
        <x:v>Electronics</x:v>
      </x:c>
      <x:c r="C17" s="23" t="n">
        <x:v>188</x:v>
      </x:c>
      <x:c r="D17" s="23" t="n">
        <x:v>159</x:v>
      </x:c>
      <x:c r="E17" s="32" t="n">
        <x:v>40011.1</x:v>
      </x:c>
      <x:c r="F17" s="32" t="n">
        <x:v>13634.9</x:v>
      </x:c>
      <x:c r="G17" s="34" t="n">
        <x:v>0.3408</x:v>
      </x:c>
      <x:c r="H17" s="34" t="n">
        <x:v>0.0479</x:v>
      </x:c>
    </x:row>
    <x:row r="18">
      <x:c r="A18" s="24" t="str">
        <x:v>Nova Accessories Edge</x:v>
      </x:c>
      <x:c r="B18" s="24" t="str">
        <x:v>Electronics</x:v>
      </x:c>
      <x:c r="C18" s="24" t="n">
        <x:v>127</x:v>
      </x:c>
      <x:c r="D18" s="24" t="n">
        <x:v>100</x:v>
      </x:c>
      <x:c r="E18" s="30" t="n">
        <x:v>31503.32</x:v>
      </x:c>
      <x:c r="F18" s="30" t="n">
        <x:v>8300.9</x:v>
      </x:c>
      <x:c r="G18" s="28" t="n">
        <x:v>0.2635</x:v>
      </x:c>
      <x:c r="H18" s="28" t="n">
        <x:v>0.0866</x:v>
      </x:c>
    </x:row>
    <x:row r="19">
      <x:c r="A19" s="24" t="str">
        <x:v>Nova Fitness Plus</x:v>
      </x:c>
      <x:c r="B19" s="24" t="str">
        <x:v>Sports &amp; Outdoors</x:v>
      </x:c>
      <x:c r="C19" s="24" t="n">
        <x:v>162</x:v>
      </x:c>
      <x:c r="D19" s="24" t="n">
        <x:v>135</x:v>
      </x:c>
      <x:c r="E19" s="30" t="n">
        <x:v>29940.33</x:v>
      </x:c>
      <x:c r="F19" s="30" t="n">
        <x:v>8380.33</x:v>
      </x:c>
      <x:c r="G19" s="28" t="n">
        <x:v>0.2799</x:v>
      </x:c>
      <x:c r="H19" s="28" t="n">
        <x:v>0.0185</x:v>
      </x:c>
    </x:row>
    <x:row r="20">
      <x:c r="A20" s="24" t="str">
        <x:v>Motion Smart Home Plus</x:v>
      </x:c>
      <x:c r="B20" s="24" t="str">
        <x:v>Electronics</x:v>
      </x:c>
      <x:c r="C20" s="24" t="n">
        <x:v>150</x:v>
      </x:c>
      <x:c r="D20" s="24" t="n">
        <x:v>115</x:v>
      </x:c>
      <x:c r="E20" s="30" t="n">
        <x:v>25200.43</x:v>
      </x:c>
      <x:c r="F20" s="30" t="n">
        <x:v>7971.79</x:v>
      </x:c>
      <x:c r="G20" s="28" t="n">
        <x:v>0.3163</x:v>
      </x:c>
      <x:c r="H20" s="28" t="n">
        <x:v>0.0467</x:v>
      </x:c>
    </x:row>
    <x:row r="21">
      <x:c r="A21" s="24" t="str">
        <x:v>Core Accessories Go</x:v>
      </x:c>
      <x:c r="B21" s="24" t="str">
        <x:v>Electronics</x:v>
      </x:c>
      <x:c r="C21" s="24" t="n">
        <x:v>115</x:v>
      </x:c>
      <x:c r="D21" s="24" t="n">
        <x:v>95</x:v>
      </x:c>
      <x:c r="E21" s="30" t="n">
        <x:v>25112.4</x:v>
      </x:c>
      <x:c r="F21" s="30" t="n">
        <x:v>6354.59</x:v>
      </x:c>
      <x:c r="G21" s="28" t="n">
        <x:v>0.253</x:v>
      </x:c>
      <x:c r="H21" s="28" t="n">
        <x:v>0.0348</x:v>
      </x:c>
    </x:row>
    <x:row r="22">
      <x:c r="A22" s="24" t="str">
        <x:v>Nova Audio Go</x:v>
      </x:c>
      <x:c r="B22" s="24" t="str">
        <x:v>Electronics</x:v>
      </x:c>
      <x:c r="C22" s="24" t="n">
        <x:v>110</x:v>
      </x:c>
      <x:c r="D22" s="24" t="n">
        <x:v>92</x:v>
      </x:c>
      <x:c r="E22" s="30" t="n">
        <x:v>22428.82</x:v>
      </x:c>
      <x:c r="F22" s="30" t="n">
        <x:v>6044.61</x:v>
      </x:c>
      <x:c r="G22" s="28" t="n">
        <x:v>0.2695</x:v>
      </x:c>
      <x:c r="H22" s="28" t="n">
        <x:v>0.0364</x:v>
      </x:c>
    </x:row>
    <x:row r="23">
      <x:c r="A23" s="24" t="str">
        <x:v>Studio Audio Plus</x:v>
      </x:c>
      <x:c r="B23" s="24" t="str">
        <x:v>Electronics</x:v>
      </x:c>
      <x:c r="C23" s="24" t="n">
        <x:v>175</x:v>
      </x:c>
      <x:c r="D23" s="24" t="n">
        <x:v>149</x:v>
      </x:c>
      <x:c r="E23" s="30" t="n">
        <x:v>22029.13</x:v>
      </x:c>
      <x:c r="F23" s="30" t="n">
        <x:v>7401.01</x:v>
      </x:c>
      <x:c r="G23" s="28" t="n">
        <x:v>0.336</x:v>
      </x:c>
      <x:c r="H23" s="28" t="n">
        <x:v>0.08</x:v>
      </x:c>
    </x:row>
    <x:row r="24">
      <x:c r="A24" s="24" t="str">
        <x:v>Alpine Fitness Classic</x:v>
      </x:c>
      <x:c r="B24" s="24" t="str">
        <x:v>Sports &amp; Outdoors</x:v>
      </x:c>
      <x:c r="C24" s="24" t="n">
        <x:v>150</x:v>
      </x:c>
      <x:c r="D24" s="24" t="n">
        <x:v>121</x:v>
      </x:c>
      <x:c r="E24" s="30" t="n">
        <x:v>21835.07</x:v>
      </x:c>
      <x:c r="F24" s="30" t="n">
        <x:v>6367.79</x:v>
      </x:c>
      <x:c r="G24" s="28" t="n">
        <x:v>0.2916</x:v>
      </x:c>
      <x:c r="H24" s="28" t="n">
        <x:v>0.06</x:v>
      </x:c>
    </x:row>
    <x:row r="25">
      <x:c r="A25" s="24" t="str">
        <x:v>Prime Decor One</x:v>
      </x:c>
      <x:c r="B25" s="24" t="str">
        <x:v>Home &amp; Living</x:v>
      </x:c>
      <x:c r="C25" s="24" t="n">
        <x:v>188</x:v>
      </x:c>
      <x:c r="D25" s="24" t="n">
        <x:v>159</x:v>
      </x:c>
      <x:c r="E25" s="30" t="n">
        <x:v>21807.08</x:v>
      </x:c>
      <x:c r="F25" s="30" t="n">
        <x:v>5620.28</x:v>
      </x:c>
      <x:c r="G25" s="28" t="n">
        <x:v>0.2577</x:v>
      </x:c>
      <x:c r="H25" s="28" t="n">
        <x:v>0.1064</x:v>
      </x:c>
    </x:row>
    <x:row r="26">
      <x:c r="A26" s="24" t="str">
        <x:v>Motion Fitness Mini</x:v>
      </x:c>
      <x:c r="B26" s="24" t="str">
        <x:v>Sports &amp; Outdoors</x:v>
      </x:c>
      <x:c r="C26" s="24" t="n">
        <x:v>119</x:v>
      </x:c>
      <x:c r="D26" s="24" t="n">
        <x:v>93</x:v>
      </x:c>
      <x:c r="E26" s="30" t="n">
        <x:v>20385.72</x:v>
      </x:c>
      <x:c r="F26" s="30" t="n">
        <x:v>6012.12</x:v>
      </x:c>
      <x:c r="G26" s="28" t="n">
        <x:v>0.2949</x:v>
      </x:c>
      <x:c r="H26" s="28" t="n">
        <x:v>0.0924</x:v>
      </x:c>
    </x:row>
    <x:row r="27">
      <x:c r="A27" s="24" t="str">
        <x:v>Flex Decor Classic</x:v>
      </x:c>
      <x:c r="B27" s="24" t="str">
        <x:v>Home &amp; Living</x:v>
      </x:c>
      <x:c r="C27" s="24" t="n">
        <x:v>193</x:v>
      </x:c>
      <x:c r="D27" s="24" t="n">
        <x:v>153</x:v>
      </x:c>
      <x:c r="E27" s="30" t="n">
        <x:v>19949.54</x:v>
      </x:c>
      <x:c r="F27" s="30" t="n">
        <x:v>4329.54</x:v>
      </x:c>
      <x:c r="G27" s="28" t="n">
        <x:v>0.217</x:v>
      </x:c>
      <x:c r="H27" s="28" t="n">
        <x:v>0.0674</x:v>
      </x:c>
    </x:row>
    <x:row r="28">
      <x:c r="A28" s="24" t="str">
        <x:v>Urban Bags Classic</x:v>
      </x:c>
      <x:c r="B28" s="24" t="str">
        <x:v>Fashion</x:v>
      </x:c>
      <x:c r="C28" s="24" t="n">
        <x:v>208</x:v>
      </x:c>
      <x:c r="D28" s="24" t="n">
        <x:v>159</x:v>
      </x:c>
      <x:c r="E28" s="30" t="n">
        <x:v>19737.19</x:v>
      </x:c>
      <x:c r="F28" s="30" t="n">
        <x:v>7353.63</x:v>
      </x:c>
      <x:c r="G28" s="28" t="n">
        <x:v>0.3726</x:v>
      </x:c>
      <x:c r="H28" s="28" t="n">
        <x:v>0.0673</x:v>
      </x:c>
    </x:row>
    <x:row r="29">
      <x:c r="A29" s="24" t="str">
        <x:v>Urban Audio Select</x:v>
      </x:c>
      <x:c r="B29" s="24" t="str">
        <x:v>Electronics</x:v>
      </x:c>
      <x:c r="C29" s="24" t="n">
        <x:v>91</x:v>
      </x:c>
      <x:c r="D29" s="24" t="n">
        <x:v>72</x:v>
      </x:c>
      <x:c r="E29" s="30" t="n">
        <x:v>19147.67</x:v>
      </x:c>
      <x:c r="F29" s="30" t="n">
        <x:v>6446.05</x:v>
      </x:c>
      <x:c r="G29" s="28" t="n">
        <x:v>0.3366</x:v>
      </x:c>
      <x:c r="H29" s="28" t="n">
        <x:v>0.0989</x:v>
      </x:c>
    </x:row>
    <x:row r="30">
      <x:c r="A30" s="24" t="str">
        <x:v>Nova Fitness Pro</x:v>
      </x:c>
      <x:c r="B30" s="24" t="str">
        <x:v>Sports &amp; Outdoors</x:v>
      </x:c>
      <x:c r="C30" s="24" t="n">
        <x:v>157</x:v>
      </x:c>
      <x:c r="D30" s="24" t="n">
        <x:v>124</x:v>
      </x:c>
      <x:c r="E30" s="30" t="n">
        <x:v>18590.38</x:v>
      </x:c>
      <x:c r="F30" s="30" t="n">
        <x:v>4030.93</x:v>
      </x:c>
      <x:c r="G30" s="28" t="n">
        <x:v>0.2168</x:v>
      </x:c>
      <x:c r="H30" s="28" t="n">
        <x:v>0.0637</x:v>
      </x:c>
    </x:row>
    <x:row r="31">
      <x:c r="A31" s="24" t="str">
        <x:v>Alpine Accessories One</x:v>
      </x:c>
      <x:c r="B31" s="24" t="str">
        <x:v>Electronics</x:v>
      </x:c>
      <x:c r="C31" s="24" t="n">
        <x:v>81</x:v>
      </x:c>
      <x:c r="D31" s="24" t="n">
        <x:v>61</x:v>
      </x:c>
      <x:c r="E31" s="30" t="n">
        <x:v>17833.14</x:v>
      </x:c>
      <x:c r="F31" s="30" t="n">
        <x:v>4386.72</x:v>
      </x:c>
      <x:c r="G31" s="28" t="n">
        <x:v>0.246</x:v>
      </x:c>
      <x:c r="H31" s="28" t="n">
        <x:v>0.0247</x:v>
      </x:c>
    </x:row>
    <x:row r="32">
      <x:c r="A32" s="24" t="str">
        <x:v>Motion Kitchen One</x:v>
      </x:c>
      <x:c r="B32" s="24" t="str">
        <x:v>Home &amp; Living</x:v>
      </x:c>
      <x:c r="C32" s="24" t="n">
        <x:v>122</x:v>
      </x:c>
      <x:c r="D32" s="24" t="n">
        <x:v>99</x:v>
      </x:c>
      <x:c r="E32" s="30" t="n">
        <x:v>16413.59</x:v>
      </x:c>
      <x:c r="F32" s="30" t="n">
        <x:v>3599.55</x:v>
      </x:c>
      <x:c r="G32" s="28" t="n">
        <x:v>0.2193</x:v>
      </x:c>
      <x:c r="H32" s="28" t="n">
        <x:v>0.0902</x:v>
      </x:c>
    </x:row>
    <x:row r="33">
      <x:c r="A33" s="24" t="str">
        <x:v>Prime Cycling Pro</x:v>
      </x:c>
      <x:c r="B33" s="24" t="str">
        <x:v>Sports &amp; Outdoors</x:v>
      </x:c>
      <x:c r="C33" s="24" t="n">
        <x:v>159</x:v>
      </x:c>
      <x:c r="D33" s="24" t="n">
        <x:v>129</x:v>
      </x:c>
      <x:c r="E33" s="30" t="n">
        <x:v>16261.48</x:v>
      </x:c>
      <x:c r="F33" s="30" t="n">
        <x:v>3603.6</x:v>
      </x:c>
      <x:c r="G33" s="28" t="n">
        <x:v>0.2216</x:v>
      </x:c>
      <x:c r="H33" s="28" t="n">
        <x:v>0.0692</x:v>
      </x:c>
    </x:row>
    <x:row r="34">
      <x:c r="A34" s="24" t="str">
        <x:v>Studio Care Classic</x:v>
      </x:c>
      <x:c r="B34" s="24" t="str">
        <x:v>Pet Supplies</x:v>
      </x:c>
      <x:c r="C34" s="24" t="n">
        <x:v>166</x:v>
      </x:c>
      <x:c r="D34" s="24" t="n">
        <x:v>137</x:v>
      </x:c>
      <x:c r="E34" s="30" t="n">
        <x:v>15810.27</x:v>
      </x:c>
      <x:c r="F34" s="30" t="n">
        <x:v>4082.43</x:v>
      </x:c>
      <x:c r="G34" s="28" t="n">
        <x:v>0.2582</x:v>
      </x:c>
      <x:c r="H34" s="28" t="n">
        <x:v>0.0241</x:v>
      </x:c>
    </x:row>
    <x:row r="35">
      <x:c r="A35" s="24" t="str">
        <x:v>Prime Outdoor Go</x:v>
      </x:c>
      <x:c r="B35" s="24" t="str">
        <x:v>Sports &amp; Outdoors</x:v>
      </x:c>
      <x:c r="C35" s="24" t="n">
        <x:v>133</x:v>
      </x:c>
      <x:c r="D35" s="24" t="n">
        <x:v>112</x:v>
      </x:c>
      <x:c r="E35" s="30" t="n">
        <x:v>15563.61</x:v>
      </x:c>
      <x:c r="F35" s="30" t="n">
        <x:v>4737.74</x:v>
      </x:c>
      <x:c r="G35" s="28" t="n">
        <x:v>0.3044</x:v>
      </x:c>
      <x:c r="H35" s="28" t="n">
        <x:v>0.0752</x:v>
      </x:c>
    </x:row>
    <x:row r="36">
      <x:c r="A36" s="25" t="str">
        <x:v>Studio Audio Go</x:v>
      </x:c>
      <x:c r="B36" s="25" t="str">
        <x:v>Electronics</x:v>
      </x:c>
      <x:c r="C36" s="25" t="n">
        <x:v>120</x:v>
      </x:c>
      <x:c r="D36" s="25" t="n">
        <x:v>97</x:v>
      </x:c>
      <x:c r="E36" s="33" t="n">
        <x:v>15044.71</x:v>
      </x:c>
      <x:c r="F36" s="33" t="n">
        <x:v>3878.11</x:v>
      </x:c>
      <x:c r="G36" s="31" t="n">
        <x:v>0.2578</x:v>
      </x:c>
      <x:c r="H36" s="31" t="n">
        <x:v>0.0333</x:v>
      </x:c>
    </x:row>
  </x:sheetData>
  <x:mergeCells>
    <x:mergeCell ref="A1:Q2"/>
    <x:mergeCell ref="A3:Q3"/>
  </x:mergeCells>
  <x:pageMargins left="0.7" right="0.7" top="0.75" bottom="0.75" header="0.3" footer="0.3"/>
  <x:drawing xmlns:r="http://schemas.openxmlformats.org/officeDocument/2006/relationships" r:id="R5f1f9d8135c845cd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55" hidden="0" customWidth="1"/>
    <x:col min="4" max="4" width="55" hidden="0" customWidth="1"/>
    <x:col min="5" max="5" width="22" hidden="0" customWidth="1"/>
    <x:col min="6" max="6" width="36" hidden="0" customWidth="1"/>
  </x:cols>
  <x:sheetData>
    <x:row r="1" ht="26" customHeight="1">
      <x:c r="A1" s="3" t="str">
        <x:v>Business Recommendations</x:v>
      </x:c>
      <x:c r="B1" s="3"/>
      <x:c r="C1" s="3"/>
      <x:c r="D1" s="3"/>
      <x:c r="E1" s="3"/>
      <x:c r="F1" s="3"/>
    </x:row>
    <x:row r="2" ht="12" customHeight="1">
      <x:c r="A2" s="3"/>
      <x:c r="B2" s="3"/>
      <x:c r="C2" s="3"/>
      <x:c r="D2" s="3"/>
      <x:c r="E2" s="3"/>
      <x:c r="F2" s="3"/>
    </x:row>
    <x:row r="3" ht="24" customHeight="1">
      <x:c r="A3" s="6" t="str">
        <x:v>Decision hypotheses from the analysis; validate through controlled tests</x:v>
      </x:c>
      <x:c r="B3" s="6"/>
      <x:c r="C3" s="6"/>
      <x:c r="D3" s="6"/>
      <x:c r="E3" s="6"/>
      <x:c r="F3" s="6"/>
    </x:row>
    <x:row r="5">
      <x:c r="A5" s="15" t="str">
        <x:v>Priority</x:v>
      </x:c>
      <x:c r="B5" s="16" t="str">
        <x:v>Decision</x:v>
      </x:c>
      <x:c r="C5" s="16" t="str">
        <x:v>Evidence</x:v>
      </x:c>
      <x:c r="D5" s="16" t="str">
        <x:v>Recommended Action</x:v>
      </x:c>
      <x:c r="E5" s="16" t="str">
        <x:v>Owner</x:v>
      </x:c>
      <x:c r="F5" s="17" t="str">
        <x:v>Expected Impact</x:v>
      </x:c>
    </x:row>
    <x:row r="6" ht="78" customHeight="1">
      <x:c r="A6" s="40" t="str">
        <x:v>High</x:v>
      </x:c>
      <x:c r="B6" s="40" t="str">
        <x:v>Increase controlled acquisition tests in Affiliate</x:v>
      </x:c>
      <x:c r="C6" s="40" t="str">
        <x:v>Matured customers acquired through Affiliate generated EUR 67.06 per acquired customer in 90 days, 123.4% above the all-channel average.</x:v>
      </x:c>
      <x:c r="D6" s="40" t="str">
        <x:v>Reallocate 10% of marginal prospecting budget for a four-week incrementality test; guard on CAC payback and volume quality.</x:v>
      </x:c>
      <x:c r="E6" s="40" t="str">
        <x:v>Growth Marketing</x:v>
      </x:c>
      <x:c r="F6" s="40" t="str">
        <x:v>Higher 90-day revenue per acquired customer</x:v>
      </x:c>
    </x:row>
    <x:row r="7" ht="78" customHeight="1">
      <x:c r="A7" s="41" t="str">
        <x:v>High</x:v>
      </x:c>
      <x:c r="B7" s="41" t="str">
        <x:v>Reduce checkout abandonment for Social</x:v>
      </x:c>
      <x:c r="C7" s="41" t="str">
        <x:v>Social has the weakest checkout-to-order rate at 70.0%. A 2 percentage-point lift is worth about 26 orders / EUR 3,655 at current AOV.</x:v>
      </x:c>
      <x:c r="D7" s="41" t="str">
        <x:v>Test guest checkout, payment-message clarity, and mobile form simplification; measure incremental completed orders.</x:v>
      </x:c>
      <x:c r="E7" s="41" t="str">
        <x:v>Product &amp; CRO</x:v>
      </x:c>
      <x:c r="F7" s="41" t="str">
        <x:v>Approximately EUR 3,655 revenue per observed period</x:v>
      </x:c>
    </x:row>
    <x:row r="8" ht="78" customHeight="1">
      <x:c r="A8" s="41" t="str">
        <x:v>High</x:v>
      </x:c>
      <x:c r="B8" s="41" t="str">
        <x:v>Launch a value-based win-back program for at-risk customers</x:v>
      </x:c>
      <x:c r="C8" s="41" t="str">
        <x:v>982 at-risk customers represent EUR 282,189 in historical net revenue.</x:v>
      </x:c>
      <x:c r="D8" s="41" t="str">
        <x:v>Prioritize high-monetary customers, personalize by last purchased category, and hold out 10% to measure incrementality.</x:v>
      </x:c>
      <x:c r="E8" s="41" t="str">
        <x:v>CRM &amp; Retention</x:v>
      </x:c>
      <x:c r="F8" s="41" t="str">
        <x:v>Improved 90-day retention without blanket discounting</x:v>
      </x:c>
    </x:row>
    <x:row r="9" ht="78" customHeight="1">
      <x:c r="A9" s="41" t="str">
        <x:v>Medium</x:v>
      </x:c>
      <x:c r="B9" s="41" t="str">
        <x:v>Address returns in Fashion</x:v>
      </x:c>
      <x:c r="C9" s="41" t="str">
        <x:v>Fashion has the highest average product return rate at 8.7%, putting revenue and service costs at risk.</x:v>
      </x:c>
      <x:c r="D9" s="41" t="str">
        <x:v>Audit the top-returned SKUs, enrich product-detail content, and test fit/compatibility guidance before scaling promotions.</x:v>
      </x:c>
      <x:c r="E9" s="41" t="str">
        <x:v>Merchandising</x:v>
      </x:c>
      <x:c r="F9" s="41" t="str">
        <x:v>Lower refunds and better contribution margin</x:v>
      </x:c>
    </x:row>
    <x:row r="10" ht="78" customHeight="1">
      <x:c r="A10" s="42" t="str">
        <x:v>Medium</x:v>
      </x:c>
      <x:c r="B10" s="42" t="str">
        <x:v>Protect momentum in the South region</x:v>
      </x:c>
      <x:c r="C10" s="42" t="str">
        <x:v>Net revenue grew 82.1% in the latest quarter versus the prior quarter, the strongest regional trend.</x:v>
      </x:c>
      <x:c r="D10" s="42" t="str">
        <x:v>Validate whether growth is repeatable by channel and category, then localize inventory and campaigns around the winning mix.</x:v>
      </x:c>
      <x:c r="E10" s="42" t="str">
        <x:v>Commercial Analytics</x:v>
      </x:c>
      <x:c r="F10" s="42" t="str">
        <x:v>Sustained regional growth with inventory support</x:v>
      </x:c>
    </x:row>
  </x:sheetData>
  <x:mergeCells>
    <x:mergeCell ref="A1:F2"/>
    <x:mergeCell ref="A3:F3"/>
  </x:mergeCells>
  <x:conditionalFormatting sqref="A6:A10">
    <x:cfRule type="containsText" dxfId="0" priority="1" operator="containsText" text="High"/>
    <x:cfRule type="containsText" dxfId="1" priority="2" operator="containsText" text="Medium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0" hidden="0" customWidth="1"/>
    <x:col min="3" max="3" width="24" hidden="0" customWidth="1"/>
    <x:col min="4" max="4" width="38" hidden="0" customWidth="1"/>
  </x:cols>
  <x:sheetData>
    <x:row r="1" ht="26" customHeight="1">
      <x:c r="A1" s="3" t="str">
        <x:v>Metric Definitions &amp; Assumptions</x:v>
      </x:c>
      <x:c r="B1" s="3"/>
      <x:c r="C1" s="3"/>
      <x:c r="D1" s="3"/>
    </x:row>
    <x:row r="2" ht="12" customHeight="1">
      <x:c r="A2" s="3"/>
      <x:c r="B2" s="3"/>
      <x:c r="C2" s="3"/>
      <x:c r="D2" s="3"/>
    </x:row>
    <x:row r="3" ht="24" customHeight="1">
      <x:c r="A3" s="6" t="str">
        <x:v>Shared metric contract for SQL, Python, Excel, and Power BI</x:v>
      </x:c>
      <x:c r="B3" s="6"/>
      <x:c r="C3" s="6"/>
      <x:c r="D3" s="6"/>
    </x:row>
    <x:row r="5">
      <x:c r="A5" s="15" t="str">
        <x:v>Metric</x:v>
      </x:c>
      <x:c r="B5" s="16" t="str">
        <x:v>Definition</x:v>
      </x:c>
      <x:c r="C5" s="16" t="str">
        <x:v>Primary Source</x:v>
      </x:c>
      <x:c r="D5" s="17" t="str">
        <x:v>Notes</x:v>
      </x:c>
    </x:row>
    <x:row r="6" ht="44" customHeight="1">
      <x:c r="A6" s="40" t="str">
        <x:v>Net Revenue</x:v>
      </x:c>
      <x:c r="B6" s="40" t="str">
        <x:v>Gross revenue - discount + shipping - refund</x:v>
      </x:c>
      <x:c r="C6" s="40" t="str">
        <x:v>orders</x:v>
      </x:c>
      <x:c r="D6" s="40" t="str">
        <x:v>EUR</x:v>
      </x:c>
    </x:row>
    <x:row r="7" ht="44" customHeight="1">
      <x:c r="A7" s="41" t="str">
        <x:v>Gross Profit</x:v>
      </x:c>
      <x:c r="B7" s="41" t="str">
        <x:v>Net revenue - product cost for completed orders</x:v>
      </x:c>
      <x:c r="C7" s="41" t="str">
        <x:v>orders</x:v>
      </x:c>
      <x:c r="D7" s="41" t="str">
        <x:v>Returns/cancellations contribute zero</x:v>
      </x:c>
    </x:row>
    <x:row r="8" ht="44" customHeight="1">
      <x:c r="A8" s="41" t="str">
        <x:v>AOV</x:v>
      </x:c>
      <x:c r="B8" s="41" t="str">
        <x:v>Net revenue / completed orders</x:v>
      </x:c>
      <x:c r="C8" s="41" t="str">
        <x:v>orders</x:v>
      </x:c>
      <x:c r="D8" s="41" t="str">
        <x:v>EUR per completed order</x:v>
      </x:c>
    </x:row>
    <x:row r="9" ht="44" customHeight="1">
      <x:c r="A9" s="41" t="str">
        <x:v>Conversion Rate</x:v>
      </x:c>
      <x:c r="B9" s="41" t="str">
        <x:v>Converted sessions / all sessions</x:v>
      </x:c>
      <x:c r="C9" s="41" t="str">
        <x:v>sessions</x:v>
      </x:c>
      <x:c r="D9" s="41" t="str">
        <x:v>End-to-end session conversion</x:v>
      </x:c>
    </x:row>
    <x:row r="10" ht="44" customHeight="1">
      <x:c r="A10" s="41" t="str">
        <x:v>Repeat Purchase Rate</x:v>
      </x:c>
      <x:c r="B10" s="41" t="str">
        <x:v>Customers with 2+ completed orders / purchasing customers</x:v>
      </x:c>
      <x:c r="C10" s="41" t="str">
        <x:v>orders</x:v>
      </x:c>
      <x:c r="D10" s="41" t="str">
        <x:v>Known customers only</x:v>
      </x:c>
    </x:row>
    <x:row r="11" ht="44" customHeight="1">
      <x:c r="A11" s="41" t="str">
        <x:v>90-Day Churn</x:v>
      </x:c>
      <x:c r="B11" s="41" t="str">
        <x:v>Last completed order is &gt; 90 days before snapshot</x:v>
      </x:c>
      <x:c r="C11" s="41" t="str">
        <x:v>customer_rfm</x:v>
      </x:c>
      <x:c r="D11" s="41" t="str">
        <x:v>Snapshot 2026-01-01</x:v>
      </x:c>
    </x:row>
    <x:row r="12" ht="44" customHeight="1">
      <x:c r="A12" s="41" t="str">
        <x:v>Month-1 Retention</x:v>
      </x:c>
      <x:c r="B12" s="41" t="str">
        <x:v>Active one calendar month after first order / original cohort</x:v>
      </x:c>
      <x:c r="C12" s="41" t="str">
        <x:v>cohort_retention</x:v>
      </x:c>
      <x:c r="D12" s="41" t="str">
        <x:v>Weighted cohort average on KPI sheet</x:v>
      </x:c>
    </x:row>
    <x:row r="13" ht="44" customHeight="1">
      <x:c r="A13" s="41" t="str">
        <x:v>90-Day Revenue / Acquired</x:v>
      </x:c>
      <x:c r="B13" s="41" t="str">
        <x:v>Completed-order revenue within 90 days after signup / matured acquired customers</x:v>
      </x:c>
      <x:c r="C13" s="41" t="str">
        <x:v>channel_90d_value</x:v>
      </x:c>
      <x:c r="D13" s="41" t="str">
        <x:v>Includes zero-revenue customers</x:v>
      </x:c>
    </x:row>
    <x:row r="14" ht="44" customHeight="1">
      <x:c r="A14" s="41" t="str">
        <x:v>Revenue MoM %</x:v>
      </x:c>
      <x:c r="B14" s="41" t="str">
        <x:v>Current-month revenue / prior-month revenue - 1</x:v>
      </x:c>
      <x:c r="C14" s="41" t="str">
        <x:v>Monthly Trends</x:v>
      </x:c>
      <x:c r="D14" s="41" t="str">
        <x:v>Workbook formula</x:v>
      </x:c>
    </x:row>
    <x:row r="15" ht="44" customHeight="1">
      <x:c r="A15" s="42" t="str">
        <x:v>RFM Segment</x:v>
      </x:c>
      <x:c r="B15" s="42" t="str">
        <x:v>Named segment based on recency, frequency, monetary quintiles</x:v>
      </x:c>
      <x:c r="C15" s="42" t="str">
        <x:v>customer_rfm</x:v>
      </x:c>
      <x:c r="D15" s="42" t="str">
        <x:v>At Risk is evaluated before Loyal</x:v>
      </x:c>
    </x:row>
  </x:sheetData>
  <x:mergeCells>
    <x:mergeCell ref="A1:D2"/>
    <x:mergeCell ref="A3:D3"/>
  </x:mergeCells>
  <x:pageMargins left="0.7" right="0.7" top="0.75" bottom="0.75" header="0.3" footer="0.3"/>
</x:worksheet>
</file>